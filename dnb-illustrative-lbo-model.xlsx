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92530e9cc945f8" /></Relationships>
</file>

<file path=xl/workbook.xml><?xml version="1.0" encoding="utf-8"?>
<x:workbook xmlns:x="http://schemas.openxmlformats.org/spreadsheetml/2006/main">
  <x:sheets>
    <x:sheet xmlns:r="http://schemas.openxmlformats.org/officeDocument/2006/relationships" name="Summary" sheetId="1" r:id="R503d2163ebaa433d"/>
    <x:sheet xmlns:r="http://schemas.openxmlformats.org/officeDocument/2006/relationships" name="Assumptions" sheetId="2" r:id="Rcad84d4486624c03"/>
    <x:sheet xmlns:r="http://schemas.openxmlformats.org/officeDocument/2006/relationships" name="Historicals" sheetId="3" r:id="R0f9f64362cc1437c"/>
    <x:sheet xmlns:r="http://schemas.openxmlformats.org/officeDocument/2006/relationships" name="Transaction" sheetId="4" r:id="Rf9b2ac572bf04173"/>
    <x:sheet xmlns:r="http://schemas.openxmlformats.org/officeDocument/2006/relationships" name="Operating Case" sheetId="5" r:id="R00c99680c045434f"/>
    <x:sheet xmlns:r="http://schemas.openxmlformats.org/officeDocument/2006/relationships" name="Debt Schedule" sheetId="6" r:id="R98f09c69f35744ed"/>
    <x:sheet xmlns:r="http://schemas.openxmlformats.org/officeDocument/2006/relationships" name="Returns" sheetId="7" r:id="R4683534dbdc545c0"/>
    <x:sheet xmlns:r="http://schemas.openxmlformats.org/officeDocument/2006/relationships" name="Sensitivities" sheetId="8" r:id="R13325b28ffd24b7e"/>
    <x:sheet xmlns:r="http://schemas.openxmlformats.org/officeDocument/2006/relationships" name="Value Creation" sheetId="9" r:id="R848965f6479246e6"/>
    <x:sheet xmlns:r="http://schemas.openxmlformats.org/officeDocument/2006/relationships" name="Risks" sheetId="10" r:id="R16fdc98a72fd47bc"/>
    <x:sheet xmlns:r="http://schemas.openxmlformats.org/officeDocument/2006/relationships" name="Sources" sheetId="11" r:id="R79a1da8c316a4863"/>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_($* #,##0.0_);_($* (#,##0.0);_(* &quot;-&quot;??_);_(@_)"/>
    <x:numFmt numFmtId="202" formatCode="0.0x"/>
    <x:numFmt numFmtId="203" formatCode="0.0%;(0.0%);-"/>
    <x:numFmt numFmtId="204" formatCode="0"/>
    <x:numFmt numFmtId="205" formatCode="_(* #,##0.0_);_(* (#,##0.0);_(* &quot;-&quot;??_);_(@_)"/>
    <x:numFmt numFmtId="206" formatCode="yyyy-mm-dd"/>
  </x:numFmts>
  <x:fonts count="12">
    <x:font>
      <x:sz val="11"/>
      <x:name val="Carlito"/>
    </x:font>
    <x:font>
      <x:b/>
      <x:sz val="15"/>
      <x:color rgb="FF222222"/>
      <x:name val="Arial"/>
    </x:font>
    <x:font>
      <x:i/>
      <x:sz val="9"/>
      <x:color rgb="FF666666"/>
      <x:name val="Arial"/>
    </x:font>
    <x:font>
      <x:b/>
      <x:sz val="10"/>
      <x:color rgb="FFFFFFFF"/>
      <x:name val="Arial"/>
    </x:font>
    <x:font>
      <x:b/>
      <x:sz val="11"/>
      <x:color rgb="FF17365D"/>
      <x:name val="Arial"/>
    </x:font>
    <x:font>
      <x:sz val="9"/>
      <x:color rgb="FF008000"/>
      <x:name val="Arial"/>
    </x:font>
    <x:font>
      <x:sz val="9"/>
      <x:color rgb="FF222222"/>
      <x:name val="Arial"/>
    </x:font>
    <x:font>
      <x:sz val="9"/>
      <x:color rgb="FF0000FF"/>
      <x:name val="Arial"/>
    </x:font>
    <x:font>
      <x:b/>
      <x:sz val="9"/>
      <x:color rgb="FFFFFFFF"/>
      <x:name val="Arial"/>
    </x:font>
    <x:font>
      <x:b/>
      <x:sz val="9"/>
      <x:color rgb="FF222222"/>
      <x:name val="Arial"/>
    </x:font>
    <x:font>
      <x:i/>
      <x:sz val="9"/>
      <x:color rgb="FF222222"/>
      <x:name val="Arial"/>
    </x:font>
    <x:font>
      <x:sz val="11"/>
      <x:name val="Arial"/>
    </x:font>
  </x:fonts>
  <x:fills count="6">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FFF2CC"/>
      </x:patternFill>
    </x:fill>
    <x:fill>
      <x:patternFill patternType="solid">
        <x:fgColor rgb="FF1F4E78"/>
      </x:patternFill>
    </x:fill>
  </x:fills>
  <x:borders count="15">
    <x:border/>
    <x:border>
      <x:bottom style="thin">
        <x:color rgb="FF17365D"/>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thin">
        <x:color rgb="FF9EADBA"/>
      </x:left>
      <x:top style="thin">
        <x:color rgb="FF9EADBA"/>
      </x:top>
    </x:border>
    <x:border>
      <x:top style="thin">
        <x:color rgb="FF9EADBA"/>
      </x:top>
    </x:border>
    <x:border>
      <x:right style="thin">
        <x:color rgb="FF9EADBA"/>
      </x:right>
      <x:top style="thin">
        <x:color rgb="FF9EADBA"/>
      </x:top>
    </x:border>
    <x:border>
      <x:left style="thin">
        <x:color rgb="FF9EADBA"/>
      </x:left>
    </x:border>
    <x:border>
      <x:right style="thin">
        <x:color rgb="FF9EADBA"/>
      </x:right>
    </x:border>
    <x:border>
      <x:left style="thin">
        <x:color rgb="FF9EADBA"/>
      </x:left>
      <x:bottom style="thin">
        <x:color rgb="FF9EADBA"/>
      </x:bottom>
    </x:border>
    <x:border>
      <x:bottom style="thin">
        <x:color rgb="FF9EADBA"/>
      </x:bottom>
    </x:border>
    <x:border>
      <x:right style="thin">
        <x:color rgb="FF9EADBA"/>
      </x:right>
      <x:bottom style="thin">
        <x:color rgb="FF9EADBA"/>
      </x:bottom>
    </x:border>
    <x:border>
      <x:left style="thin">
        <x:color rgb="FFFFFFFF"/>
      </x:left>
      <x:right style="thin">
        <x:color rgb="FFFFFFFF"/>
      </x:right>
      <x:top style="thin">
        <x:color rgb="FFFFFFFF"/>
      </x:top>
      <x:bottom style="thin">
        <x:color rgb="FFFFFFFF"/>
      </x:bottom>
    </x:border>
    <x:border>
      <x:top style="thin">
        <x:color rgb="FF222222"/>
      </x:top>
    </x:border>
  </x:borders>
  <x:cellStyleXfs count="1">
    <x:xf numFmtId="0" fontId="0" fillId="0" borderId="0"/>
  </x:cellStyleXfs>
  <x:cellXfs count="123">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9" xfId="0" applyNumberFormat="1" applyFont="1" applyFill="1" applyBorder="1"/>
    <x:xf numFmtId="0" fontId="4" fillId="3" borderId="10" xfId="0" applyNumberFormat="1" applyFont="1" applyFill="1" applyBorder="1"/>
    <x:xf numFmtId="0" fontId="4" fillId="3" borderId="11" xfId="0" applyNumberFormat="1" applyFont="1" applyFill="1" applyBorder="1"/>
    <x:xf numFmtId="0" fontId="4" fillId="3" borderId="12" xfId="0" applyNumberFormat="1" applyFont="1" applyFill="1" applyBorder="1"/>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9" xfId="0" applyNumberFormat="1" applyFont="1" applyFill="1" applyBorder="1" applyAlignment="1">
      <x:alignment wrapText="1"/>
    </x:xf>
    <x:xf numFmtId="0" fontId="4" fillId="3" borderId="10" xfId="0" applyNumberFormat="1" applyFont="1" applyFill="1" applyBorder="1" applyAlignment="1">
      <x:alignment wrapText="1"/>
    </x:xf>
    <x:xf numFmtId="0" fontId="4" fillId="3" borderId="11" xfId="0" applyNumberFormat="1" applyFont="1" applyFill="1" applyBorder="1" applyAlignment="1">
      <x:alignment wrapText="1"/>
    </x:xf>
    <x:xf numFmtId="0" fontId="4" fillId="3" borderId="12" xfId="0" applyNumberFormat="1" applyFont="1" applyFill="1" applyBorder="1" applyAlignment="1">
      <x:alignment wrapText="1"/>
    </x:xf>
    <x:xf numFmtId="0" fontId="4" fillId="3" borderId="5" xfId="0" applyNumberFormat="1" applyFont="1" applyFill="1" applyBorder="1" applyAlignment="1">
      <x:alignment vertical="center" wrapText="1"/>
    </x:xf>
    <x:xf numFmtId="0" fontId="4" fillId="3" borderId="6" xfId="0" applyNumberFormat="1" applyFont="1" applyFill="1" applyBorder="1" applyAlignment="1">
      <x:alignment vertical="center" wrapText="1"/>
    </x:xf>
    <x:xf numFmtId="0" fontId="4" fillId="3" borderId="7" xfId="0" applyNumberFormat="1" applyFont="1" applyFill="1" applyBorder="1" applyAlignment="1">
      <x:alignment vertical="center" wrapText="1"/>
    </x:xf>
    <x:xf numFmtId="0" fontId="4" fillId="3" borderId="8"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3" borderId="9" xfId="0" applyNumberFormat="1" applyFont="1" applyFill="1" applyBorder="1" applyAlignment="1">
      <x:alignment vertical="center" wrapText="1"/>
    </x:xf>
    <x:xf numFmtId="0" fontId="4" fillId="3" borderId="10" xfId="0" applyNumberFormat="1" applyFont="1" applyFill="1" applyBorder="1" applyAlignment="1">
      <x:alignment vertical="center" wrapText="1"/>
    </x:xf>
    <x:xf numFmtId="0" fontId="4" fillId="3" borderId="11" xfId="0" applyNumberFormat="1" applyFont="1" applyFill="1" applyBorder="1" applyAlignment="1">
      <x:alignment vertical="center" wrapText="1"/>
    </x:xf>
    <x:xf numFmtId="0" fontId="4" fillId="3" borderId="12" xfId="0" applyNumberFormat="1" applyFont="1" applyFill="1" applyBorder="1" applyAlignment="1">
      <x:alignment vertical="center" wrapText="1"/>
    </x:xf>
    <x:xf numFmtId="0" fontId="5" fillId="0"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202" fontId="5" fillId="0" borderId="0" xfId="0" applyNumberFormat="1" applyFont="1" applyFill="1" applyBorder="1"/>
    <x:xf numFmtId="201" fontId="5" fillId="0" borderId="0" xfId="0" applyNumberFormat="1" applyFont="1" applyFill="1" applyBorder="1"/>
    <x:xf numFmtId="203" fontId="5" fillId="0" borderId="0" xfId="0" applyNumberFormat="1" applyFont="1" applyFill="1" applyBorder="1"/>
    <x:xf numFmtId="0" fontId="0" fillId="0" borderId="0" xfId="0" applyNumberFormat="1" applyFont="1" applyFill="1" applyBorder="1" applyAlignment="1">
      <x:alignment wrapText="1"/>
    </x:xf>
    <x:xf numFmtId="0" fontId="6" fillId="0" borderId="0" xfId="0" applyNumberFormat="1" applyFont="1" applyFill="1" applyBorder="1"/>
    <x:xf numFmtId="200" fontId="6" fillId="0" borderId="0" xfId="0" applyNumberFormat="1" applyFont="1" applyFill="1" applyBorder="1"/>
    <x:xf numFmtId="201" fontId="6" fillId="0" borderId="0" xfId="0" applyNumberFormat="1" applyFont="1" applyFill="1" applyBorder="1"/>
    <x:xf numFmtId="202" fontId="6" fillId="0" borderId="0" xfId="0" applyNumberFormat="1" applyFont="1" applyFill="1" applyBorder="1"/>
    <x:xf numFmtId="203"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x:xf>
    <x:xf numFmtId="200" fontId="6" fillId="0" borderId="0" xfId="0" applyNumberFormat="1" applyFont="1" applyFill="1" applyBorder="1" applyAlignment="1">
      <x:alignment vertical="center"/>
    </x:xf>
    <x:xf numFmtId="201" fontId="6"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203"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0" fontId="6"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4" xfId="0" applyNumberFormat="1" applyFont="1" applyFill="1" applyBorder="1" applyAlignment="1">
      <x:alignment vertical="center"/>
    </x:xf>
    <x:xf numFmtId="0" fontId="7" fillId="0" borderId="0" xfId="0" applyNumberFormat="1" applyFont="1" applyFill="1" applyBorder="1"/>
    <x:xf numFmtId="0" fontId="7" fillId="4" borderId="0" xfId="0" applyNumberFormat="1" applyFont="1" applyFill="1" applyBorder="1"/>
    <x:xf numFmtId="204" fontId="7" fillId="4" borderId="0" xfId="0" applyNumberFormat="1" applyFont="1" applyFill="1" applyBorder="1"/>
    <x:xf numFmtId="0" fontId="0" fillId="5" borderId="0" xfId="0" applyNumberFormat="1" applyFont="1" applyFill="1" applyBorder="1"/>
    <x:xf numFmtId="0" fontId="8" fillId="5" borderId="0" xfId="0" applyNumberFormat="1" applyFont="1" applyFill="1" applyBorder="1"/>
    <x:xf numFmtId="0" fontId="8" fillId="5" borderId="13" xfId="0" applyNumberFormat="1" applyFont="1" applyFill="1" applyBorder="1"/>
    <x:xf numFmtId="0" fontId="8" fillId="5" borderId="13" xfId="0" applyNumberFormat="1" applyFont="1" applyFill="1" applyBorder="1" applyAlignment="1">
      <x:alignment wrapText="1"/>
    </x:xf>
    <x:xf numFmtId="0" fontId="8" fillId="5" borderId="13" xfId="0" applyNumberFormat="1" applyFont="1" applyFill="1" applyBorder="1" applyAlignment="1">
      <x:alignment horizontal="center" wrapText="1"/>
    </x:xf>
    <x:xf numFmtId="0" fontId="8" fillId="5" borderId="13" xfId="0" applyNumberFormat="1" applyFont="1" applyFill="1" applyBorder="1" applyAlignment="1">
      <x:alignment horizontal="center" vertical="center" wrapText="1"/>
    </x:xf>
    <x:xf numFmtId="203" fontId="7" fillId="4" borderId="0" xfId="0" applyNumberFormat="1" applyFont="1" applyFill="1" applyBorder="1"/>
    <x:xf numFmtId="203" fontId="0" fillId="0" borderId="0" xfId="0" applyNumberFormat="1" applyFont="1" applyFill="1" applyBorder="1"/>
    <x:xf numFmtId="201" fontId="7" fillId="4" borderId="0" xfId="0" applyNumberFormat="1" applyFont="1" applyFill="1" applyBorder="1"/>
    <x:xf numFmtId="202" fontId="7" fillId="4" borderId="0" xfId="0" applyNumberFormat="1" applyFont="1" applyFill="1" applyBorder="1"/>
    <x:xf numFmtId="202" fontId="0" fillId="0" borderId="0" xfId="0" applyNumberFormat="1" applyFont="1" applyFill="1" applyBorder="1"/>
    <x:xf numFmtId="0" fontId="6" fillId="4" borderId="0" xfId="0" applyNumberFormat="1" applyFont="1" applyFill="1" applyBorder="1"/>
    <x:xf numFmtId="204" fontId="6" fillId="4" borderId="0" xfId="0" applyNumberFormat="1" applyFont="1" applyFill="1" applyBorder="1"/>
    <x:xf numFmtId="0" fontId="9" fillId="5" borderId="13" xfId="0" applyNumberFormat="1" applyFont="1" applyFill="1" applyBorder="1" applyAlignment="1">
      <x:alignment horizontal="center" vertical="center" wrapText="1"/>
    </x:xf>
    <x:xf numFmtId="203" fontId="6" fillId="4" borderId="0" xfId="0" applyNumberFormat="1" applyFont="1" applyFill="1" applyBorder="1"/>
    <x:xf numFmtId="201" fontId="6" fillId="4" borderId="0" xfId="0" applyNumberFormat="1" applyFont="1" applyFill="1" applyBorder="1"/>
    <x:xf numFmtId="202" fontId="6" fillId="4" borderId="0" xfId="0" applyNumberFormat="1" applyFont="1" applyFill="1" applyBorder="1"/>
    <x:xf numFmtId="0" fontId="6" fillId="4" borderId="0" xfId="0" applyNumberFormat="1" applyFont="1" applyFill="1" applyBorder="1" applyAlignment="1">
      <x:alignment vertical="center"/>
    </x:xf>
    <x:xf numFmtId="204" fontId="6" fillId="4" borderId="0" xfId="0" applyNumberFormat="1" applyFont="1" applyFill="1" applyBorder="1" applyAlignment="1">
      <x:alignment vertical="center"/>
    </x:xf>
    <x:xf numFmtId="203" fontId="6" fillId="4" borderId="0" xfId="0" applyNumberFormat="1" applyFont="1" applyFill="1" applyBorder="1" applyAlignment="1">
      <x:alignment vertical="center"/>
    </x:xf>
    <x:xf numFmtId="201" fontId="6" fillId="4" borderId="0" xfId="0" applyNumberFormat="1" applyFont="1" applyFill="1" applyBorder="1" applyAlignment="1">
      <x:alignment vertical="center"/>
    </x:xf>
    <x:xf numFmtId="202" fontId="6" fillId="4" borderId="0" xfId="0" applyNumberFormat="1" applyFont="1" applyFill="1" applyBorder="1" applyAlignment="1">
      <x:alignment vertical="center"/>
    </x:xf>
    <x:xf numFmtId="205" fontId="0" fillId="0" borderId="0" xfId="0" applyNumberFormat="1" applyFont="1" applyFill="1" applyBorder="1"/>
    <x:xf numFmtId="205" fontId="5" fillId="0" borderId="0" xfId="0" applyNumberFormat="1" applyFont="1" applyFill="1" applyBorder="1"/>
    <x:xf numFmtId="205" fontId="6" fillId="0" borderId="0" xfId="0" applyNumberFormat="1" applyFont="1" applyFill="1" applyBorder="1"/>
    <x:xf numFmtId="205" fontId="6" fillId="0" borderId="0" xfId="0" applyNumberFormat="1" applyFont="1" applyFill="1" applyBorder="1" applyAlignment="1">
      <x:alignment vertical="center"/>
    </x:xf>
    <x:xf numFmtId="0" fontId="9" fillId="0" borderId="0" xfId="0" applyNumberFormat="1" applyFont="1" applyFill="1" applyBorder="1" applyAlignment="1">
      <x:alignment vertical="center"/>
    </x:xf>
    <x:xf numFmtId="205" fontId="9" fillId="0" borderId="0" xfId="0" applyNumberFormat="1" applyFont="1" applyFill="1" applyBorder="1" applyAlignment="1">
      <x:alignment vertical="center"/>
    </x:xf>
    <x:xf numFmtId="0" fontId="9" fillId="0" borderId="14" xfId="0" applyNumberFormat="1" applyFont="1" applyFill="1" applyBorder="1" applyAlignment="1">
      <x:alignment vertical="center"/>
    </x:xf>
    <x:xf numFmtId="205" fontId="9" fillId="0" borderId="14" xfId="0" applyNumberFormat="1" applyFont="1" applyFill="1" applyBorder="1" applyAlignment="1">
      <x:alignment vertical="center"/>
    </x:xf>
    <x:xf numFmtId="0" fontId="9" fillId="0" borderId="0" xfId="0" applyNumberFormat="1" applyFont="1" applyFill="1" applyBorder="1"/>
    <x:xf numFmtId="201" fontId="9" fillId="0" borderId="0" xfId="0" applyNumberFormat="1" applyFont="1" applyFill="1" applyBorder="1"/>
    <x:xf numFmtId="0" fontId="9" fillId="0" borderId="14" xfId="0" applyNumberFormat="1" applyFont="1" applyFill="1" applyBorder="1"/>
    <x:xf numFmtId="201" fontId="9" fillId="0" borderId="14"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9" fillId="2" borderId="2" xfId="0" applyNumberFormat="1" applyFont="1" applyFill="1" applyBorder="1"/>
    <x:xf numFmtId="0" fontId="9" fillId="2" borderId="4" xfId="0" applyNumberFormat="1" applyFont="1" applyFill="1" applyBorder="1"/>
    <x:xf numFmtId="0" fontId="10" fillId="0" borderId="0" xfId="0" applyNumberFormat="1" applyFont="1" applyFill="1" applyBorder="1" applyAlignment="1">
      <x:alignment vertical="center" wrapText="1"/>
    </x:xf>
    <x:xf numFmtId="0" fontId="9" fillId="2" borderId="2" xfId="0" applyNumberFormat="1" applyFont="1" applyFill="1" applyBorder="1" applyAlignment="1">
      <x:alignment vertical="center"/>
    </x:xf>
    <x:xf numFmtId="0" fontId="9" fillId="2" borderId="4" xfId="0" applyNumberFormat="1" applyFont="1" applyFill="1" applyBorder="1" applyAlignment="1">
      <x:alignment vertical="center"/>
    </x:xf>
    <x:xf numFmtId="201" fontId="9" fillId="0" borderId="14" xfId="0" applyNumberFormat="1" applyFont="1" applyFill="1" applyBorder="1" applyAlignment="1">
      <x:alignment vertical="center"/>
    </x:xf>
    <x:xf numFmtId="205" fontId="9" fillId="0" borderId="0" xfId="0" applyNumberFormat="1" applyFont="1" applyFill="1" applyBorder="1"/>
    <x:xf numFmtId="205" fontId="9" fillId="0" borderId="14" xfId="0" applyNumberFormat="1" applyFont="1" applyFill="1" applyBorder="1"/>
    <x:xf numFmtId="0" fontId="0" fillId="0" borderId="0" xfId="0" applyNumberFormat="1" applyFont="1" applyFill="1" applyBorder="1" applyAlignment="1">
      <x:alignment horizontal="center"/>
    </x:xf>
    <x:xf numFmtId="0" fontId="6" fillId="0" borderId="0" xfId="0" applyNumberFormat="1" applyFont="1" applyFill="1" applyBorder="1" applyAlignment="1">
      <x:alignment horizontal="center"/>
    </x:xf>
    <x:xf numFmtId="0" fontId="6" fillId="0" borderId="0" xfId="0" applyNumberFormat="1" applyFont="1" applyFill="1" applyBorder="1" applyAlignment="1">
      <x:alignment horizontal="center" vertical="center"/>
    </x:xf>
    <x:xf numFmtId="204" fontId="0" fillId="0" borderId="0" xfId="0" applyNumberFormat="1" applyFont="1" applyFill="1" applyBorder="1"/>
    <x:xf numFmtId="204" fontId="5" fillId="0" borderId="0" xfId="0" applyNumberFormat="1" applyFont="1" applyFill="1" applyBorder="1"/>
    <x:xf numFmtId="0" fontId="9" fillId="2" borderId="3" xfId="0" applyNumberFormat="1" applyFont="1" applyFill="1" applyBorder="1"/>
    <x:xf numFmtId="204" fontId="6" fillId="0" borderId="0" xfId="0" applyNumberFormat="1" applyFont="1" applyFill="1" applyBorder="1"/>
    <x:xf numFmtId="0" fontId="9" fillId="2" borderId="3" xfId="0" applyNumberFormat="1" applyFont="1" applyFill="1" applyBorder="1" applyAlignment="1">
      <x:alignment vertical="center"/>
    </x:xf>
    <x:xf numFmtId="204" fontId="6" fillId="0" borderId="0" xfId="0" applyNumberFormat="1" applyFont="1" applyFill="1" applyBorder="1" applyAlignment="1">
      <x:alignment vertical="center"/>
    </x:xf>
    <x:xf numFmtId="206" fontId="0" fillId="0" borderId="0" xfId="0" applyNumberFormat="1" applyFont="1" applyFill="1" applyBorder="1"/>
    <x:xf numFmtId="206" fontId="0" fillId="0" borderId="0" xfId="0" applyNumberFormat="1" applyFont="1" applyFill="1" applyBorder="1" applyAlignment="1">
      <x:alignment wrapText="1"/>
    </x:xf>
    <x:xf numFmtId="206" fontId="6" fillId="0" borderId="0" xfId="0" applyNumberFormat="1" applyFont="1" applyFill="1" applyBorder="1" applyAlignment="1">
      <x:alignment wrapText="1"/>
    </x:xf>
    <x:xf numFmtId="206" fontId="6" fillId="0" borderId="0" xfId="0" applyNumberFormat="1" applyFont="1" applyFill="1" applyBorder="1" applyAlignment="1">
      <x:alignment vertical="center" wrapText="1"/>
    </x:xf>
    <x:xf numFmtId="0" fontId="11" fillId="0" borderId="1" xfId="0" applyNumberFormat="1" applyFont="1" applyFill="1" applyBorder="1"/>
    <x:xf numFmtId="0" fontId="11" fillId="0" borderId="0" xfId="0" applyNumberFormat="1" applyFont="1" applyFill="1" applyBorder="1"/>
  </x:cellXfs>
  <x:cellStyles count="1">
    <x:cellStyle name="Normal" xfId="0"/>
  </x:cellStyles>
  <x:dxfs count="5">
    <x:dxf>
      <x:font>
        <x:b/>
        <x:color rgb="FFC00000"/>
      </x:font>
      <x:fill>
        <x:patternFill patternType="solid">
          <x:bgColor rgb="FFF4CCCC"/>
        </x:patternFill>
      </x:fill>
    </x:dxf>
    <x:dxf>
      <x:font>
        <x:b/>
        <x:color rgb="FF274E13"/>
      </x:font>
      <x:fill>
        <x:patternFill patternType="solid">
          <x:bgColor rgb="FFD9EAD3"/>
        </x:patternFill>
      </x:fill>
    </x:dxf>
    <x:dxf>
      <x:font>
        <x:b/>
        <x:color rgb="FFC00000"/>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139e38d8564372" /><Relationship Type="http://schemas.openxmlformats.org/officeDocument/2006/relationships/theme" Target="/xl/theme/theme1.xml" Id="R9e6eaee155054c3e" /><Relationship Type="http://schemas.openxmlformats.org/officeDocument/2006/relationships/sharedStrings" Target="/xl/sharedStrings.xml" Id="Rf3bfe2046ac14847" /><Relationship Type="http://schemas.openxmlformats.org/officeDocument/2006/relationships/worksheet" Target="/xl/worksheets/sheet1.xml" Id="R503d2163ebaa433d" /><Relationship Type="http://schemas.openxmlformats.org/officeDocument/2006/relationships/worksheet" Target="/xl/worksheets/sheet2.xml" Id="Rcad84d4486624c03" /><Relationship Type="http://schemas.openxmlformats.org/officeDocument/2006/relationships/worksheet" Target="/xl/worksheets/sheet3.xml" Id="R0f9f64362cc1437c" /><Relationship Type="http://schemas.openxmlformats.org/officeDocument/2006/relationships/worksheet" Target="/xl/worksheets/sheet4.xml" Id="Rf9b2ac572bf04173" /><Relationship Type="http://schemas.openxmlformats.org/officeDocument/2006/relationships/worksheet" Target="/xl/worksheets/sheet5.xml" Id="R00c99680c045434f" /><Relationship Type="http://schemas.openxmlformats.org/officeDocument/2006/relationships/worksheet" Target="/xl/worksheets/sheet6.xml" Id="R98f09c69f35744ed" /><Relationship Type="http://schemas.openxmlformats.org/officeDocument/2006/relationships/worksheet" Target="/xl/worksheets/sheet7.xml" Id="R4683534dbdc545c0" /><Relationship Type="http://schemas.openxmlformats.org/officeDocument/2006/relationships/worksheet" Target="/xl/worksheets/sheet8.xml" Id="R13325b28ffd24b7e" /><Relationship Type="http://schemas.openxmlformats.org/officeDocument/2006/relationships/worksheet" Target="/xl/worksheets/sheet9.xml" Id="R848965f6479246e6" /><Relationship Type="http://schemas.openxmlformats.org/officeDocument/2006/relationships/worksheet" Target="/xl/worksheets/sheet10.xml" Id="R16fdc98a72fd47bc" /><Relationship Type="http://schemas.openxmlformats.org/officeDocument/2006/relationships/worksheet" Target="/xl/worksheets/sheet11.xml" Id="R79a1da8c316a48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 hidden="0" customWidth="1"/>
    <x:col min="2" max="2" width="2" hidden="0" customWidth="1"/>
    <x:col min="3" max="3" width="32" hidden="0" customWidth="1"/>
    <x:col min="4" max="4" width="15" hidden="0" customWidth="1"/>
    <x:col min="5" max="5" width="3" hidden="0" customWidth="1"/>
    <x:col min="6" max="6" width="3" hidden="0" customWidth="1"/>
    <x:col min="7" max="7" width="3" hidden="0" customWidth="1"/>
    <x:col min="8" max="8" width="3" hidden="0" customWidth="1"/>
    <x:col min="9" max="9" width="32" hidden="0" customWidth="1"/>
    <x:col min="10" max="10" width="15" hidden="0" customWidth="1"/>
    <x:col min="11" max="11" width="3" hidden="0" customWidth="1"/>
    <x:col min="12" max="12" width="3" hidden="0" customWidth="1"/>
    <x:col min="13" max="13" width="3" hidden="0" customWidth="1"/>
  </x:cols>
  <x:sheetData>
    <x:row r="2">
      <x:c r="C2" s="2" t="str">
        <x:v>Dun &amp; Bradstreet Illustrative LBO</x:v>
      </x:c>
      <x:c r="D2" s="121"/>
      <x:c r="E2" s="121"/>
      <x:c r="F2" s="121"/>
      <x:c r="G2" s="121"/>
      <x:c r="H2" s="121"/>
      <x:c r="I2" s="121"/>
      <x:c r="J2" s="121"/>
      <x:c r="K2" s="121"/>
      <x:c r="L2" s="121"/>
      <x:c r="M2" s="121"/>
    </x:row>
    <x:row r="3">
      <x:c r="C3" s="3" t="str">
        <x:v>Independent public-information case study | Underwriting date 24 March 2025 | USD millions unless stated</x:v>
      </x:c>
      <x:c r="D3" s="3"/>
      <x:c r="E3" s="3"/>
      <x:c r="F3" s="3"/>
      <x:c r="G3" s="3"/>
      <x:c r="H3" s="3"/>
      <x:c r="I3" s="3"/>
      <x:c r="J3" s="3"/>
      <x:c r="K3" s="3"/>
      <x:c r="L3" s="3"/>
      <x:c r="M3" s="3"/>
    </x:row>
    <x:row r="4">
      <x:c r="C4" s="122"/>
      <x:c r="D4" s="122"/>
      <x:c r="E4" s="122"/>
      <x:c r="F4" s="122"/>
      <x:c r="G4" s="122"/>
      <x:c r="H4" s="122"/>
      <x:c r="I4" s="122"/>
      <x:c r="J4" s="122"/>
      <x:c r="K4" s="122"/>
      <x:c r="L4" s="122"/>
      <x:c r="M4" s="122"/>
    </x:row>
    <x:row r="5">
      <x:c r="C5" s="122"/>
      <x:c r="D5" s="122"/>
      <x:c r="E5" s="122"/>
      <x:c r="F5" s="122"/>
      <x:c r="G5" s="122"/>
      <x:c r="H5" s="122"/>
      <x:c r="I5" s="122"/>
      <x:c r="J5" s="122"/>
      <x:c r="K5" s="122"/>
      <x:c r="L5" s="122"/>
      <x:c r="M5" s="122"/>
    </x:row>
    <x:row r="6">
      <x:c r="C6" s="6" t="str">
        <x:v>Investment conclusion</x:v>
      </x:c>
      <x:c r="D6" s="7"/>
      <x:c r="E6" s="7"/>
      <x:c r="F6" s="7"/>
      <x:c r="G6" s="7"/>
      <x:c r="H6" s="7"/>
      <x:c r="I6" s="7"/>
      <x:c r="J6" s="7"/>
      <x:c r="K6" s="7"/>
      <x:c r="L6" s="7"/>
      <x:c r="M6" s="8"/>
    </x:row>
    <x:row r="7">
      <x:c r="C7" s="122"/>
      <x:c r="D7" s="122"/>
      <x:c r="E7" s="122"/>
      <x:c r="F7" s="122"/>
      <x:c r="G7" s="122"/>
      <x:c r="H7" s="122"/>
      <x:c r="I7" s="122"/>
      <x:c r="J7" s="122"/>
      <x:c r="K7" s="122"/>
      <x:c r="L7" s="122"/>
      <x:c r="M7" s="122"/>
    </x:row>
    <x:row r="8">
      <x:c r="C8" s="28" t="str">
        <x:v>Conditional approval. The base case reaches approximately a 20% gross IRR with no material exit-multiple expansion, but the return depends on steady 3-4% revenue growth, moderate margin improvement and disciplined software investment. The bear case produces weak returns, so approval requires retention, normalized EBITDA and maintenance-capex diligence.</x:v>
      </x:c>
      <x:c r="D8" s="29"/>
      <x:c r="E8" s="29"/>
      <x:c r="F8" s="29"/>
      <x:c r="G8" s="29"/>
      <x:c r="H8" s="29"/>
      <x:c r="I8" s="29"/>
      <x:c r="J8" s="29"/>
      <x:c r="K8" s="29"/>
      <x:c r="L8" s="29"/>
      <x:c r="M8" s="30"/>
    </x:row>
    <x:row r="9">
      <x:c r="C9" s="31"/>
      <x:c r="D9" s="32"/>
      <x:c r="E9" s="32"/>
      <x:c r="F9" s="32"/>
      <x:c r="G9" s="32"/>
      <x:c r="H9" s="32"/>
      <x:c r="I9" s="32"/>
      <x:c r="J9" s="32"/>
      <x:c r="K9" s="32"/>
      <x:c r="L9" s="32"/>
      <x:c r="M9" s="33"/>
    </x:row>
    <x:row r="10">
      <x:c r="C10" s="34"/>
      <x:c r="D10" s="35"/>
      <x:c r="E10" s="35"/>
      <x:c r="F10" s="35"/>
      <x:c r="G10" s="35"/>
      <x:c r="H10" s="35"/>
      <x:c r="I10" s="35"/>
      <x:c r="J10" s="35"/>
      <x:c r="K10" s="35"/>
      <x:c r="L10" s="35"/>
      <x:c r="M10" s="36"/>
    </x:row>
    <x:row r="11">
      <x:c r="C11" s="122"/>
      <x:c r="D11" s="122"/>
      <x:c r="E11" s="122"/>
      <x:c r="F11" s="122"/>
      <x:c r="G11" s="122"/>
      <x:c r="H11" s="122"/>
      <x:c r="I11" s="122"/>
      <x:c r="J11" s="122"/>
      <x:c r="K11" s="122"/>
      <x:c r="L11" s="122"/>
      <x:c r="M11" s="122"/>
    </x:row>
    <x:row r="12">
      <x:c r="C12" s="122"/>
      <x:c r="D12" s="122"/>
      <x:c r="E12" s="122"/>
      <x:c r="F12" s="122"/>
      <x:c r="G12" s="122"/>
      <x:c r="H12" s="122"/>
      <x:c r="I12" s="122"/>
      <x:c r="J12" s="122"/>
      <x:c r="K12" s="122"/>
      <x:c r="L12" s="122"/>
      <x:c r="M12" s="122"/>
    </x:row>
    <x:row r="13">
      <x:c r="C13" s="6" t="str">
        <x:v>Transaction</x:v>
      </x:c>
      <x:c r="D13" s="7"/>
      <x:c r="E13" s="7"/>
      <x:c r="F13" s="7"/>
      <x:c r="G13" s="8"/>
      <x:c r="H13" s="122"/>
      <x:c r="I13" s="6" t="str">
        <x:v>Base-case returns</x:v>
      </x:c>
      <x:c r="J13" s="7"/>
      <x:c r="K13" s="7"/>
      <x:c r="L13" s="7"/>
      <x:c r="M13" s="8"/>
    </x:row>
    <x:row r="14">
      <x:c r="C14" s="122"/>
      <x:c r="D14" s="122"/>
      <x:c r="E14" s="122"/>
      <x:c r="F14" s="122"/>
      <x:c r="G14" s="122"/>
      <x:c r="H14" s="122"/>
      <x:c r="I14" s="122"/>
      <x:c r="J14" s="122"/>
      <x:c r="K14" s="122"/>
      <x:c r="L14" s="122"/>
      <x:c r="M14" s="122"/>
    </x:row>
    <x:row r="15">
      <x:c r="C15" s="50" t="str">
        <x:v>Offer price per share</x:v>
      </x:c>
      <x:c r="D15" s="51" t="n">
        <x:v>9.15</x:v>
      </x:c>
      <x:c r="E15" s="50"/>
      <x:c r="F15" s="50"/>
      <x:c r="G15" s="50"/>
      <x:c r="H15" s="50"/>
      <x:c r="I15" s="50" t="str">
        <x:v>Exit year</x:v>
      </x:c>
      <x:c r="J15" s="50" t="str">
        <x:v>FY2029</x:v>
      </x:c>
      <x:c r="K15" s="50"/>
      <x:c r="L15" s="50"/>
      <x:c r="M15" s="50"/>
    </x:row>
    <x:row r="16">
      <x:c r="C16" s="50" t="str">
        <x:v>Disclosed equity value</x:v>
      </x:c>
      <x:c r="D16" s="52" t="n">
        <x:v>4100</x:v>
      </x:c>
      <x:c r="E16" s="50"/>
      <x:c r="F16" s="50"/>
      <x:c r="G16" s="50"/>
      <x:c r="H16" s="50"/>
      <x:c r="I16" s="50" t="str">
        <x:v>Exit EBITDA</x:v>
      </x:c>
      <x:c r="J16" s="52" t="n">
        <x:f>'Returns'!D9</x:f>
        <x:v>1156.3448627698979</x:v>
      </x:c>
      <x:c r="K16" s="50"/>
      <x:c r="L16" s="50"/>
      <x:c r="M16" s="50"/>
    </x:row>
    <x:row r="17">
      <x:c r="C17" s="50" t="str">
        <x:v>Disclosed transaction value</x:v>
      </x:c>
      <x:c r="D17" s="52" t="n">
        <x:v>7700</x:v>
      </x:c>
      <x:c r="E17" s="50"/>
      <x:c r="F17" s="50"/>
      <x:c r="G17" s="50"/>
      <x:c r="H17" s="50"/>
      <x:c r="I17" s="50" t="str">
        <x:v>Exit net debt</x:v>
      </x:c>
      <x:c r="J17" s="52" t="n">
        <x:f>'Returns'!D12</x:f>
        <x:v>3093.455957637118</x:v>
      </x:c>
      <x:c r="K17" s="50"/>
      <x:c r="L17" s="50"/>
      <x:c r="M17" s="50"/>
    </x:row>
    <x:row r="18">
      <x:c r="C18" s="50" t="str">
        <x:v>Entry adjusted EBITDA</x:v>
      </x:c>
      <x:c r="D18" s="52" t="n">
        <x:v>926.6</x:v>
      </x:c>
      <x:c r="E18" s="50"/>
      <x:c r="F18" s="50"/>
      <x:c r="G18" s="50"/>
      <x:c r="H18" s="50"/>
      <x:c r="I18" s="50" t="str">
        <x:v>Gross MOIC</x:v>
      </x:c>
      <x:c r="J18" s="53" t="n">
        <x:f>'Returns'!D15</x:f>
        <x:v>2.4976542622565248</x:v>
      </x:c>
      <x:c r="K18" s="50"/>
      <x:c r="L18" s="50"/>
      <x:c r="M18" s="50"/>
    </x:row>
    <x:row r="19">
      <x:c r="C19" s="50" t="str">
        <x:v>Entry EV / EBITDA</x:v>
      </x:c>
      <x:c r="D19" s="53" t="str">
        <x:f>'Transaction'!D20</x:f>
        <x:v>Entry EV / adjusted EBITDA</x:v>
      </x:c>
      <x:c r="E19" s="50"/>
      <x:c r="F19" s="50"/>
      <x:c r="G19" s="50"/>
      <x:c r="H19" s="50"/>
      <x:c r="I19" s="50" t="str">
        <x:v>Gross IRR</x:v>
      </x:c>
      <x:c r="J19" s="54" t="n">
        <x:f>'Returns'!D16</x:f>
        <x:v>0.2008989475028473</x:v>
      </x:c>
      <x:c r="K19" s="50"/>
      <x:c r="L19" s="50"/>
      <x:c r="M19" s="50"/>
    </x:row>
    <x:row r="20">
      <x:c r="C20" s="50" t="str">
        <x:v>Illustrative entry debt / EBITDA</x:v>
      </x:c>
      <x:c r="D20" s="53" t="n">
        <x:f>'Transaction'!D29</x:f>
        <x:v>6</x:v>
      </x:c>
      <x:c r="E20" s="50"/>
      <x:c r="F20" s="50"/>
      <x:c r="G20" s="50"/>
      <x:c r="H20" s="50"/>
      <x:c r="I20" s="50" t="str">
        <x:v>Exit multiple</x:v>
      </x:c>
      <x:c r="J20" s="53" t="n">
        <x:f>'Returns'!D10</x:f>
        <x:v>8.3</x:v>
      </x:c>
      <x:c r="K20" s="50"/>
      <x:c r="L20" s="50"/>
      <x:c r="M20" s="50"/>
    </x:row>
    <x:row r="21">
      <x:c r="C21" s="50"/>
      <x:c r="D21" s="50"/>
      <x:c r="E21" s="50"/>
      <x:c r="F21" s="50"/>
      <x:c r="G21" s="50"/>
      <x:c r="H21" s="50"/>
      <x:c r="I21" s="50"/>
      <x:c r="J21" s="50"/>
      <x:c r="K21" s="50"/>
      <x:c r="L21" s="50"/>
      <x:c r="M21" s="50"/>
    </x:row>
    <x:row r="22">
      <x:c r="C22" s="50"/>
      <x:c r="D22" s="50"/>
      <x:c r="E22" s="50"/>
      <x:c r="F22" s="50"/>
      <x:c r="G22" s="50"/>
      <x:c r="H22" s="50"/>
      <x:c r="I22" s="50"/>
      <x:c r="J22" s="50"/>
      <x:c r="K22" s="50"/>
      <x:c r="L22" s="50"/>
      <x:c r="M22" s="50"/>
    </x:row>
    <x:row r="23">
      <x:c r="C23" s="58" t="str">
        <x:v>Investment merits</x:v>
      </x:c>
      <x:c r="D23" s="59"/>
      <x:c r="E23" s="59"/>
      <x:c r="F23" s="59"/>
      <x:c r="G23" s="60"/>
      <x:c r="H23" s="50"/>
      <x:c r="I23" s="58" t="str">
        <x:v>Principal risks</x:v>
      </x:c>
      <x:c r="J23" s="59"/>
      <x:c r="K23" s="59"/>
      <x:c r="L23" s="59"/>
      <x:c r="M23" s="60"/>
    </x:row>
    <x:row r="24">
      <x:c r="C24" s="50"/>
      <x:c r="D24" s="50"/>
      <x:c r="E24" s="50"/>
      <x:c r="F24" s="50"/>
      <x:c r="G24" s="50"/>
      <x:c r="H24" s="50"/>
      <x:c r="I24" s="50"/>
      <x:c r="J24" s="50"/>
      <x:c r="K24" s="50"/>
      <x:c r="L24" s="50"/>
      <x:c r="M24" s="50"/>
    </x:row>
    <x:row r="25">
      <x:c r="C25" s="55" t="n">
        <x:v>1</x:v>
      </x:c>
      <x:c r="D25" s="55" t="str">
        <x:v>Mission-critical credit, compliance and data-management workflows</x:v>
      </x:c>
      <x:c r="E25" s="55"/>
      <x:c r="F25" s="55"/>
      <x:c r="G25" s="55"/>
      <x:c r="H25" s="50"/>
      <x:c r="I25" s="55" t="n">
        <x:v>1</x:v>
      </x:c>
      <x:c r="J25" s="55" t="str">
        <x:v>Slow organic growth, especially mature North America products</x:v>
      </x:c>
      <x:c r="K25" s="55"/>
      <x:c r="L25" s="55"/>
      <x:c r="M25" s="55"/>
    </x:row>
    <x:row r="26">
      <x:c r="C26" s="55" t="n">
        <x:v>2</x:v>
      </x:c>
      <x:c r="D26" s="55" t="str">
        <x:v>Subscription and API delivery with diversified customers</x:v>
      </x:c>
      <x:c r="E26" s="55"/>
      <x:c r="F26" s="55"/>
      <x:c r="G26" s="55"/>
      <x:c r="H26" s="50"/>
      <x:c r="I26" s="55" t="n">
        <x:v>2</x:v>
      </x:c>
      <x:c r="J26" s="55" t="str">
        <x:v>Recurring adjustments and high software investment weaken cash conversion</x:v>
      </x:c>
      <x:c r="K26" s="55"/>
      <x:c r="L26" s="55"/>
      <x:c r="M26" s="55"/>
    </x:row>
    <x:row r="27">
      <x:c r="C27" s="55" t="n">
        <x:v>3</x:v>
      </x:c>
      <x:c r="D27" s="55" t="str">
        <x:v>Proprietary identifiers, entity matching and global data network</x:v>
      </x:c>
      <x:c r="E27" s="55"/>
      <x:c r="F27" s="55"/>
      <x:c r="G27" s="55"/>
      <x:c r="H27" s="50"/>
      <x:c r="I27" s="55" t="n">
        <x:v>3</x:v>
      </x:c>
      <x:c r="J27" s="55" t="str">
        <x:v>High leverage and floating-rate sensitivity</x:v>
      </x:c>
      <x:c r="K27" s="55"/>
      <x:c r="L27" s="55"/>
      <x:c r="M27" s="55"/>
    </x:row>
    <x:row r="28">
      <x:c r="C28" s="55" t="n">
        <x:v>4</x:v>
      </x:c>
      <x:c r="D28" s="55" t="str">
        <x:v>International and risk/compliance growth pockets</x:v>
      </x:c>
      <x:c r="E28" s="55"/>
      <x:c r="F28" s="55"/>
      <x:c r="G28" s="55"/>
      <x:c r="H28" s="50"/>
      <x:c r="I28" s="55" t="n">
        <x:v>4</x:v>
      </x:c>
      <x:c r="J28" s="55" t="str">
        <x:v>AI, privacy and data-quality risks can erode differentiation</x:v>
      </x:c>
      <x:c r="K28" s="55"/>
      <x:c r="L28" s="55"/>
      <x:c r="M28" s="55"/>
    </x:row>
    <x:row r="29">
      <x:c r="C29" s="55" t="n">
        <x:v>5</x:v>
      </x:c>
      <x:c r="D29" s="55" t="str">
        <x:v>Deleveraging can drive returns without multiple expansion</x:v>
      </x:c>
      <x:c r="E29" s="55"/>
      <x:c r="F29" s="55"/>
      <x:c r="G29" s="55"/>
      <x:c r="H29" s="50"/>
      <x:c r="I29" s="55" t="n">
        <x:v>5</x:v>
      </x:c>
      <x:c r="J29" s="55" t="str">
        <x:v>Bear-case return does not meet the target</x:v>
      </x:c>
      <x:c r="K29" s="55"/>
      <x:c r="L29" s="55"/>
      <x:c r="M29" s="55"/>
    </x:row>
    <x:row r="30">
      <x:c r="C30" s="50"/>
      <x:c r="D30" s="50"/>
      <x:c r="E30" s="50"/>
      <x:c r="F30" s="50"/>
      <x:c r="G30" s="50"/>
      <x:c r="H30" s="50"/>
      <x:c r="I30" s="50"/>
      <x:c r="J30" s="50"/>
      <x:c r="K30" s="50"/>
      <x:c r="L30" s="50"/>
      <x:c r="M30" s="50"/>
    </x:row>
  </x:sheetData>
  <x:mergeCells>
    <x:mergeCell ref="C8:M10"/>
    <x:mergeCell ref="D25:G25"/>
    <x:mergeCell ref="J25:M25"/>
    <x:mergeCell ref="D26:G26"/>
    <x:mergeCell ref="J26:M26"/>
    <x:mergeCell ref="D27:G27"/>
    <x:mergeCell ref="J27:M27"/>
    <x:mergeCell ref="D28:G28"/>
    <x:mergeCell ref="J28:M28"/>
    <x:mergeCell ref="D29:G29"/>
    <x:mergeCell ref="J29:M29"/>
  </x:mergeCells>
  <x:conditionalFormatting sqref="J19:J19">
    <x:cfRule type="cellIs" dxfId="3" priority="1" operator="greaterThanOrEqual">
      <x:formula>0.2</x:formula>
    </x:cfRule>
    <x:cfRule type="cellIs" dxfId="4" priority="2" operator="lessThan">
      <x:formula>0.2</x:formula>
    </x:cfRule>
  </x:conditionalFormatting>
  <x:pageMargins left="0.7" right="0.7" top="0.75" bottom="0.75" header="0.3" footer="0.3"/>
</x:worksheet>
</file>

<file path=xl/worksheets/sheet2.xml><?xml version="1.0" encoding="utf-8"?>
<x:worksheet xmlns:x="http://schemas.openxmlformats.org/spreadsheetml/2006/main">
  <x:sheetPr>
    <x:tabColor rgb="FFF3E5C8"/>
  </x:sheetPr>
  <x:sheetViews>
    <x:sheetView showGridLines="0" workbookViewId="0">
      <x:pane xSplit="3" ySplit="9" topLeftCell="D10" activePane="bottomRight" state="frozen"/>
    </x:sheetView>
  </x:sheetViews>
  <x:sheetFormatPr defaultRowHeight="15"/>
  <x:cols>
    <x:col min="1" max="1" width="2" hidden="0" customWidth="1"/>
    <x:col min="2" max="2" width="2" hidden="0" customWidth="1"/>
    <x:col min="3" max="3" width="38" hidden="0" customWidth="1"/>
    <x:col min="4" max="4" width="13" hidden="0" customWidth="1"/>
    <x:col min="5" max="5" width="13" hidden="0" customWidth="1"/>
    <x:col min="6" max="6" width="25" hidden="0" customWidth="1"/>
    <x:col min="7" max="7" width="13" hidden="0" customWidth="1"/>
    <x:col min="8" max="8" width="13" hidden="0" customWidth="1"/>
  </x:cols>
  <x:sheetData>
    <x:row r="2">
      <x:c r="C2" s="2" t="str">
        <x:v>Assumptions</x:v>
      </x:c>
      <x:c r="D2" s="121"/>
      <x:c r="E2" s="121"/>
      <x:c r="F2" s="121"/>
      <x:c r="G2" s="121"/>
      <x:c r="H2" s="121"/>
      <x:c r="I2" s="121"/>
      <x:c r="J2" s="121"/>
      <x:c r="K2" s="121"/>
    </x:row>
    <x:row r="3">
      <x:c r="C3" s="3" t="str">
        <x:v>Blue cells are editable author assumptions; selected case drives all forecast and return calculations</x:v>
      </x:c>
      <x:c r="D3" s="3"/>
      <x:c r="E3" s="3"/>
      <x:c r="F3" s="3"/>
      <x:c r="G3" s="3"/>
      <x:c r="H3" s="3"/>
      <x:c r="I3" s="3"/>
      <x:c r="J3" s="3"/>
      <x:c r="K3" s="3"/>
    </x:row>
    <x:row r="4">
      <x:c r="C4" s="122"/>
      <x:c r="D4" s="122"/>
      <x:c r="E4" s="122"/>
      <x:c r="F4" s="122"/>
      <x:c r="G4" s="122"/>
      <x:c r="H4" s="122"/>
      <x:c r="I4" s="122"/>
      <x:c r="J4" s="122"/>
      <x:c r="K4" s="122"/>
    </x:row>
    <x:row r="5">
      <x:c r="C5" s="122"/>
      <x:c r="D5" s="122"/>
      <x:c r="E5" s="122"/>
      <x:c r="F5" s="122"/>
      <x:c r="G5" s="122"/>
      <x:c r="H5" s="122"/>
      <x:c r="I5" s="122"/>
      <x:c r="J5" s="122"/>
      <x:c r="K5" s="122"/>
    </x:row>
    <x:row r="6">
      <x:c r="C6" s="50" t="str">
        <x:v>Selected case</x:v>
      </x:c>
      <x:c r="D6" s="81" t="str">
        <x:v>Base</x:v>
      </x:c>
      <x:c r="E6" s="50"/>
      <x:c r="F6" s="50"/>
      <x:c r="G6" s="50"/>
      <x:c r="H6" s="50"/>
      <x:c r="I6" s="122"/>
      <x:c r="J6" s="122"/>
      <x:c r="K6" s="122"/>
    </x:row>
    <x:row r="7">
      <x:c r="C7" s="50" t="str">
        <x:v>Holding period (years)</x:v>
      </x:c>
      <x:c r="D7" s="82" t="n">
        <x:v>5</x:v>
      </x:c>
      <x:c r="E7" s="50"/>
      <x:c r="F7" s="50"/>
      <x:c r="G7" s="50"/>
      <x:c r="H7" s="50"/>
      <x:c r="I7" s="122"/>
      <x:c r="J7" s="122"/>
      <x:c r="K7" s="122"/>
    </x:row>
    <x:row r="8">
      <x:c r="C8" s="50"/>
      <x:c r="D8" s="50"/>
      <x:c r="E8" s="50"/>
      <x:c r="F8" s="50"/>
      <x:c r="G8" s="50"/>
      <x:c r="H8" s="50"/>
      <x:c r="I8" s="122"/>
      <x:c r="J8" s="122"/>
      <x:c r="K8" s="122"/>
    </x:row>
    <x:row r="9">
      <x:c r="C9" s="77" t="str">
        <x:v>Operating assumptions</x:v>
      </x:c>
      <x:c r="D9" s="77" t="str">
        <x:v>FY2025</x:v>
      </x:c>
      <x:c r="E9" s="77" t="str">
        <x:v>FY2026</x:v>
      </x:c>
      <x:c r="F9" s="77" t="str">
        <x:v>FY2027</x:v>
      </x:c>
      <x:c r="G9" s="77" t="str">
        <x:v>FY2028</x:v>
      </x:c>
      <x:c r="H9" s="77" t="str">
        <x:v>FY2029</x:v>
      </x:c>
      <x:c r="I9" s="122"/>
      <x:c r="J9" s="122"/>
      <x:c r="K9" s="122"/>
    </x:row>
    <x:row r="10">
      <x:c r="C10" s="50" t="str">
        <x:v>Bear revenue growth</x:v>
      </x:c>
      <x:c r="D10" s="83" t="n">
        <x:v>0.025</x:v>
      </x:c>
      <x:c r="E10" s="83" t="n">
        <x:v>0.01</x:v>
      </x:c>
      <x:c r="F10" s="83" t="n">
        <x:v>0.015</x:v>
      </x:c>
      <x:c r="G10" s="83" t="n">
        <x:v>0.02</x:v>
      </x:c>
      <x:c r="H10" s="83" t="n">
        <x:v>0.02</x:v>
      </x:c>
      <x:c r="I10" s="122"/>
      <x:c r="J10" s="122"/>
      <x:c r="K10" s="122"/>
    </x:row>
    <x:row r="11">
      <x:c r="C11" s="50" t="str">
        <x:v>Base revenue growth</x:v>
      </x:c>
      <x:c r="D11" s="83" t="n">
        <x:v>0.037</x:v>
      </x:c>
      <x:c r="E11" s="83" t="n">
        <x:v>0.035</x:v>
      </x:c>
      <x:c r="F11" s="83" t="n">
        <x:v>0.035</x:v>
      </x:c>
      <x:c r="G11" s="83" t="n">
        <x:v>0.035</x:v>
      </x:c>
      <x:c r="H11" s="83" t="n">
        <x:v>0.035</x:v>
      </x:c>
      <x:c r="I11" s="122"/>
      <x:c r="J11" s="122"/>
      <x:c r="K11" s="122"/>
    </x:row>
    <x:row r="12">
      <x:c r="C12" s="50" t="str">
        <x:v>Bull revenue growth</x:v>
      </x:c>
      <x:c r="D12" s="83" t="n">
        <x:v>0.05</x:v>
      </x:c>
      <x:c r="E12" s="83" t="n">
        <x:v>0.05</x:v>
      </x:c>
      <x:c r="F12" s="83" t="n">
        <x:v>0.05</x:v>
      </x:c>
      <x:c r="G12" s="83" t="n">
        <x:v>0.045</x:v>
      </x:c>
      <x:c r="H12" s="83" t="n">
        <x:v>0.045</x:v>
      </x:c>
      <x:c r="I12" s="122"/>
      <x:c r="J12" s="122"/>
      <x:c r="K12" s="122"/>
    </x:row>
    <x:row r="13">
      <x:c r="C13" s="50" t="str">
        <x:v>Bear EBITDA margin</x:v>
      </x:c>
      <x:c r="D13" s="83" t="n">
        <x:v>0.39</x:v>
      </x:c>
      <x:c r="E13" s="83" t="n">
        <x:v>0.385</x:v>
      </x:c>
      <x:c r="F13" s="83" t="n">
        <x:v>0.385</x:v>
      </x:c>
      <x:c r="G13" s="83" t="n">
        <x:v>0.39</x:v>
      </x:c>
      <x:c r="H13" s="83" t="n">
        <x:v>0.395</x:v>
      </x:c>
      <x:c r="I13" s="122"/>
      <x:c r="J13" s="122"/>
      <x:c r="K13" s="122"/>
    </x:row>
    <x:row r="14">
      <x:c r="C14" s="50" t="str">
        <x:v>Base EBITDA margin</x:v>
      </x:c>
      <x:c r="D14" s="83" t="n">
        <x:v>0.3927</x:v>
      </x:c>
      <x:c r="E14" s="83" t="n">
        <x:v>0.397</x:v>
      </x:c>
      <x:c r="F14" s="83" t="n">
        <x:v>0.401</x:v>
      </x:c>
      <x:c r="G14" s="83" t="n">
        <x:v>0.405</x:v>
      </x:c>
      <x:c r="H14" s="83" t="n">
        <x:v>0.408</x:v>
      </x:c>
      <x:c r="I14" s="122"/>
      <x:c r="J14" s="122"/>
      <x:c r="K14" s="122"/>
    </x:row>
    <x:row r="15">
      <x:c r="C15" s="50" t="str">
        <x:v>Bull EBITDA margin</x:v>
      </x:c>
      <x:c r="D15" s="83" t="n">
        <x:v>0.398</x:v>
      </x:c>
      <x:c r="E15" s="83" t="n">
        <x:v>0.405</x:v>
      </x:c>
      <x:c r="F15" s="83" t="n">
        <x:v>0.412</x:v>
      </x:c>
      <x:c r="G15" s="83" t="n">
        <x:v>0.418</x:v>
      </x:c>
      <x:c r="H15" s="83" t="n">
        <x:v>0.422</x:v>
      </x:c>
      <x:c r="I15" s="122"/>
      <x:c r="J15" s="122"/>
      <x:c r="K15" s="122"/>
    </x:row>
    <x:row r="16">
      <x:c r="C16" s="50" t="str">
        <x:v>Bear total capex / revenue</x:v>
      </x:c>
      <x:c r="D16" s="83" t="n">
        <x:v>0.085</x:v>
      </x:c>
      <x:c r="E16" s="83" t="n">
        <x:v>0.082</x:v>
      </x:c>
      <x:c r="F16" s="83" t="n">
        <x:v>0.08</x:v>
      </x:c>
      <x:c r="G16" s="83" t="n">
        <x:v>0.078</x:v>
      </x:c>
      <x:c r="H16" s="83" t="n">
        <x:v>0.076</x:v>
      </x:c>
      <x:c r="I16" s="122"/>
      <x:c r="J16" s="122"/>
      <x:c r="K16" s="122"/>
    </x:row>
    <x:row r="17">
      <x:c r="C17" s="50" t="str">
        <x:v>Base total capex / revenue</x:v>
      </x:c>
      <x:c r="D17" s="83" t="n">
        <x:v>0.08</x:v>
      </x:c>
      <x:c r="E17" s="83" t="n">
        <x:v>0.078</x:v>
      </x:c>
      <x:c r="F17" s="83" t="n">
        <x:v>0.076</x:v>
      </x:c>
      <x:c r="G17" s="83" t="n">
        <x:v>0.074</x:v>
      </x:c>
      <x:c r="H17" s="83" t="n">
        <x:v>0.072</x:v>
      </x:c>
      <x:c r="I17" s="122"/>
      <x:c r="J17" s="122"/>
      <x:c r="K17" s="122"/>
    </x:row>
    <x:row r="18">
      <x:c r="C18" s="50" t="str">
        <x:v>Bull total capex / revenue</x:v>
      </x:c>
      <x:c r="D18" s="83" t="n">
        <x:v>0.078</x:v>
      </x:c>
      <x:c r="E18" s="83" t="n">
        <x:v>0.075</x:v>
      </x:c>
      <x:c r="F18" s="83" t="n">
        <x:v>0.072</x:v>
      </x:c>
      <x:c r="G18" s="83" t="n">
        <x:v>0.07</x:v>
      </x:c>
      <x:c r="H18" s="83" t="n">
        <x:v>0.068</x:v>
      </x:c>
      <x:c r="I18" s="122"/>
      <x:c r="J18" s="122"/>
      <x:c r="K18" s="122"/>
    </x:row>
    <x:row r="19">
      <x:c r="C19" s="50" t="str">
        <x:v>Cash taxes / EBITDA</x:v>
      </x:c>
      <x:c r="D19" s="83" t="n">
        <x:v>0.1</x:v>
      </x:c>
      <x:c r="E19" s="83" t="n">
        <x:v>0.1</x:v>
      </x:c>
      <x:c r="F19" s="83" t="n">
        <x:v>0.1</x:v>
      </x:c>
      <x:c r="G19" s="83" t="n">
        <x:v>0.1</x:v>
      </x:c>
      <x:c r="H19" s="83" t="n">
        <x:v>0.1</x:v>
      </x:c>
      <x:c r="I19" s="122"/>
      <x:c r="J19" s="122"/>
      <x:c r="K19" s="122"/>
    </x:row>
    <x:row r="20">
      <x:c r="C20" s="50" t="str">
        <x:v>Change in NWC / revenue change</x:v>
      </x:c>
      <x:c r="D20" s="83" t="n">
        <x:v>0.01</x:v>
      </x:c>
      <x:c r="E20" s="83" t="n">
        <x:v>0.01</x:v>
      </x:c>
      <x:c r="F20" s="83" t="n">
        <x:v>0.01</x:v>
      </x:c>
      <x:c r="G20" s="83" t="n">
        <x:v>0.01</x:v>
      </x:c>
      <x:c r="H20" s="83" t="n">
        <x:v>0.01</x:v>
      </x:c>
      <x:c r="I20" s="122"/>
      <x:c r="J20" s="122"/>
      <x:c r="K20" s="122"/>
    </x:row>
    <x:row r="21">
      <x:c r="C21" s="50" t="str">
        <x:v>Recurring cash-cost reserve / EBITDA</x:v>
      </x:c>
      <x:c r="D21" s="83" t="n">
        <x:v>0.02</x:v>
      </x:c>
      <x:c r="E21" s="83" t="n">
        <x:v>0.02</x:v>
      </x:c>
      <x:c r="F21" s="83" t="n">
        <x:v>0.02</x:v>
      </x:c>
      <x:c r="G21" s="83" t="n">
        <x:v>0.02</x:v>
      </x:c>
      <x:c r="H21" s="83" t="n">
        <x:v>0.02</x:v>
      </x:c>
      <x:c r="I21" s="122"/>
      <x:c r="J21" s="122"/>
      <x:c r="K21" s="122"/>
    </x:row>
    <x:row r="22">
      <x:c r="C22" s="50"/>
      <x:c r="D22" s="50"/>
      <x:c r="E22" s="50"/>
      <x:c r="F22" s="50"/>
      <x:c r="G22" s="50"/>
      <x:c r="H22" s="50"/>
      <x:c r="I22" s="122"/>
      <x:c r="J22" s="122"/>
      <x:c r="K22" s="122"/>
    </x:row>
    <x:row r="23">
      <x:c r="C23" s="77" t="str">
        <x:v>Selected assumptions</x:v>
      </x:c>
      <x:c r="D23" s="77" t="str">
        <x:v>FY2025</x:v>
      </x:c>
      <x:c r="E23" s="77" t="str">
        <x:v>FY2026</x:v>
      </x:c>
      <x:c r="F23" s="77" t="str">
        <x:v>FY2027</x:v>
      </x:c>
      <x:c r="G23" s="77" t="str">
        <x:v>FY2028</x:v>
      </x:c>
      <x:c r="H23" s="77" t="str">
        <x:v>FY2029</x:v>
      </x:c>
      <x:c r="I23" s="122"/>
      <x:c r="J23" s="122"/>
      <x:c r="K23" s="122"/>
    </x:row>
    <x:row r="24">
      <x:c r="C24" s="50" t="str">
        <x:v>Revenue growth</x:v>
      </x:c>
      <x:c r="D24" s="54" t="n">
        <x:f>INDEX(D$10:D$12,MATCH($D$6,{"Bear","Base","Bull"},0))</x:f>
        <x:v>0.037</x:v>
      </x:c>
      <x:c r="E24" s="54" t="n">
        <x:f>INDEX(E$10:E$12,MATCH($D$6,{"Bear","Base","Bull"},0))</x:f>
        <x:v>0.035</x:v>
      </x:c>
      <x:c r="F24" s="54" t="n">
        <x:f>INDEX(F$10:F$12,MATCH($D$6,{"Bear","Base","Bull"},0))</x:f>
        <x:v>0.035</x:v>
      </x:c>
      <x:c r="G24" s="54" t="n">
        <x:f>INDEX(G$10:G$12,MATCH($D$6,{"Bear","Base","Bull"},0))</x:f>
        <x:v>0.035</x:v>
      </x:c>
      <x:c r="H24" s="54" t="n">
        <x:f>INDEX(H$10:H$12,MATCH($D$6,{"Bear","Base","Bull"},0))</x:f>
        <x:v>0.035</x:v>
      </x:c>
      <x:c r="I24" s="122"/>
      <x:c r="J24" s="122"/>
      <x:c r="K24" s="122"/>
    </x:row>
    <x:row r="25">
      <x:c r="C25" s="50" t="str">
        <x:v>EBITDA margin</x:v>
      </x:c>
      <x:c r="D25" s="54" t="n">
        <x:f>INDEX(D$13:D$15,MATCH($D$6,{"Bear","Base","Bull"},0))</x:f>
        <x:v>0.3927</x:v>
      </x:c>
      <x:c r="E25" s="54" t="n">
        <x:f>INDEX(E$13:E$15,MATCH($D$6,{"Bear","Base","Bull"},0))</x:f>
        <x:v>0.397</x:v>
      </x:c>
      <x:c r="F25" s="54" t="n">
        <x:f>INDEX(F$13:F$15,MATCH($D$6,{"Bear","Base","Bull"},0))</x:f>
        <x:v>0.401</x:v>
      </x:c>
      <x:c r="G25" s="54" t="n">
        <x:f>INDEX(G$13:G$15,MATCH($D$6,{"Bear","Base","Bull"},0))</x:f>
        <x:v>0.405</x:v>
      </x:c>
      <x:c r="H25" s="54" t="n">
        <x:f>INDEX(H$13:H$15,MATCH($D$6,{"Bear","Base","Bull"},0))</x:f>
        <x:v>0.408</x:v>
      </x:c>
      <x:c r="I25" s="122"/>
      <x:c r="J25" s="122"/>
      <x:c r="K25" s="122"/>
    </x:row>
    <x:row r="26">
      <x:c r="C26" s="50" t="str">
        <x:v>Total capex / revenue</x:v>
      </x:c>
      <x:c r="D26" s="54" t="n">
        <x:f>INDEX(D$16:D$18,MATCH($D$6,{"Bear","Base","Bull"},0))</x:f>
        <x:v>0.08</x:v>
      </x:c>
      <x:c r="E26" s="54" t="n">
        <x:f>INDEX(E$16:E$18,MATCH($D$6,{"Bear","Base","Bull"},0))</x:f>
        <x:v>0.078</x:v>
      </x:c>
      <x:c r="F26" s="54" t="n">
        <x:f>INDEX(F$16:F$18,MATCH($D$6,{"Bear","Base","Bull"},0))</x:f>
        <x:v>0.076</x:v>
      </x:c>
      <x:c r="G26" s="54" t="n">
        <x:f>INDEX(G$16:G$18,MATCH($D$6,{"Bear","Base","Bull"},0))</x:f>
        <x:v>0.074</x:v>
      </x:c>
      <x:c r="H26" s="54" t="n">
        <x:f>INDEX(H$16:H$18,MATCH($D$6,{"Bear","Base","Bull"},0))</x:f>
        <x:v>0.072</x:v>
      </x:c>
      <x:c r="I26" s="122"/>
      <x:c r="J26" s="122"/>
      <x:c r="K26" s="122"/>
    </x:row>
    <x:row r="27">
      <x:c r="C27" s="50" t="str">
        <x:v>Cash taxes / EBITDA</x:v>
      </x:c>
      <x:c r="D27" s="54" t="n">
        <x:f>D$19</x:f>
        <x:v>0.1</x:v>
      </x:c>
      <x:c r="E27" s="54" t="n">
        <x:f>E$19</x:f>
        <x:v>0.1</x:v>
      </x:c>
      <x:c r="F27" s="54" t="n">
        <x:f>F$19</x:f>
        <x:v>0.1</x:v>
      </x:c>
      <x:c r="G27" s="54" t="n">
        <x:f>G$19</x:f>
        <x:v>0.1</x:v>
      </x:c>
      <x:c r="H27" s="54" t="n">
        <x:f>H$19</x:f>
        <x:v>0.1</x:v>
      </x:c>
      <x:c r="I27" s="122"/>
      <x:c r="J27" s="122"/>
      <x:c r="K27" s="122"/>
    </x:row>
    <x:row r="28">
      <x:c r="C28" s="50" t="str">
        <x:v>Change in NWC / revenue change</x:v>
      </x:c>
      <x:c r="D28" s="54" t="n">
        <x:f>D$20</x:f>
        <x:v>0.01</x:v>
      </x:c>
      <x:c r="E28" s="54" t="n">
        <x:f>E$20</x:f>
        <x:v>0.01</x:v>
      </x:c>
      <x:c r="F28" s="54" t="n">
        <x:f>F$20</x:f>
        <x:v>0.01</x:v>
      </x:c>
      <x:c r="G28" s="54" t="n">
        <x:f>G$20</x:f>
        <x:v>0.01</x:v>
      </x:c>
      <x:c r="H28" s="54" t="n">
        <x:f>H$20</x:f>
        <x:v>0.01</x:v>
      </x:c>
      <x:c r="I28" s="122"/>
      <x:c r="J28" s="122"/>
      <x:c r="K28" s="122"/>
    </x:row>
    <x:row r="29">
      <x:c r="C29" s="50"/>
      <x:c r="D29" s="50"/>
      <x:c r="E29" s="50"/>
      <x:c r="F29" s="50"/>
      <x:c r="G29" s="50"/>
      <x:c r="H29" s="50"/>
      <x:c r="I29" s="122"/>
      <x:c r="J29" s="122"/>
      <x:c r="K29" s="122"/>
    </x:row>
    <x:row r="30">
      <x:c r="C30" s="77" t="str">
        <x:v>Transaction and debt assumptions</x:v>
      </x:c>
      <x:c r="D30" s="77" t="str">
        <x:v>Value</x:v>
      </x:c>
      <x:c r="E30" s="50"/>
      <x:c r="F30" s="77" t="str">
        <x:v>Exit assumptions</x:v>
      </x:c>
      <x:c r="G30" s="77" t="str">
        <x:v>Value</x:v>
      </x:c>
      <x:c r="H30" s="50"/>
      <x:c r="I30" s="122"/>
      <x:c r="J30" s="122"/>
      <x:c r="K30" s="122"/>
    </x:row>
    <x:row r="31">
      <x:c r="C31" s="50" t="str">
        <x:v>Equity purchase price</x:v>
      </x:c>
      <x:c r="D31" s="84" t="n">
        <x:v>4100</x:v>
      </x:c>
      <x:c r="E31" s="50"/>
      <x:c r="F31" s="50" t="str">
        <x:v>Bear exit multiple</x:v>
      </x:c>
      <x:c r="G31" s="85" t="n">
        <x:v>7</x:v>
      </x:c>
      <x:c r="H31" s="50"/>
      <x:c r="I31" s="122"/>
      <x:c r="J31" s="122"/>
      <x:c r="K31" s="122"/>
    </x:row>
    <x:row r="32">
      <x:c r="C32" s="50" t="str">
        <x:v>Debt refinanced / assumed</x:v>
      </x:c>
      <x:c r="D32" s="84" t="n">
        <x:v>3550.4</x:v>
      </x:c>
      <x:c r="E32" s="50"/>
      <x:c r="F32" s="50" t="str">
        <x:v>Base exit multiple</x:v>
      </x:c>
      <x:c r="G32" s="85" t="n">
        <x:v>8.3</x:v>
      </x:c>
      <x:c r="H32" s="50"/>
      <x:c r="I32" s="122"/>
      <x:c r="J32" s="122"/>
      <x:c r="K32" s="122"/>
    </x:row>
    <x:row r="33">
      <x:c r="C33" s="50" t="str">
        <x:v>Cash acquired</x:v>
      </x:c>
      <x:c r="D33" s="84" t="n">
        <x:v>205.9</x:v>
      </x:c>
      <x:c r="E33" s="50"/>
      <x:c r="F33" s="50" t="str">
        <x:v>Bull exit multiple</x:v>
      </x:c>
      <x:c r="G33" s="85" t="n">
        <x:v>8.5</x:v>
      </x:c>
      <x:c r="H33" s="50"/>
      <x:c r="I33" s="122"/>
      <x:c r="J33" s="122"/>
      <x:c r="K33" s="122"/>
    </x:row>
    <x:row r="34">
      <x:c r="C34" s="50" t="str">
        <x:v>Transaction fees / disclosed transaction value</x:v>
      </x:c>
      <x:c r="D34" s="83" t="n">
        <x:v>0.02</x:v>
      </x:c>
      <x:c r="E34" s="50"/>
      <x:c r="F34" s="50" t="str">
        <x:v>Selected exit multiple</x:v>
      </x:c>
      <x:c r="G34" s="53" t="n">
        <x:f>INDEX(G31:G33,MATCH($D$6,{"Bear","Base","Bull"},0))</x:f>
        <x:v>8.3</x:v>
      </x:c>
      <x:c r="H34" s="50"/>
      <x:c r="I34" s="122"/>
      <x:c r="J34" s="122"/>
      <x:c r="K34" s="122"/>
    </x:row>
    <x:row r="35">
      <x:c r="C35" s="50" t="str">
        <x:v>Financing fees / debt raised</x:v>
      </x:c>
      <x:c r="D35" s="83" t="n">
        <x:v>0.02</x:v>
      </x:c>
      <x:c r="E35" s="50"/>
      <x:c r="F35" s="50"/>
      <x:c r="G35" s="50"/>
      <x:c r="H35" s="50"/>
      <x:c r="I35" s="122"/>
      <x:c r="J35" s="122"/>
      <x:c r="K35" s="122"/>
    </x:row>
    <x:row r="36">
      <x:c r="C36" s="50" t="str">
        <x:v>Entry debt / adjusted EBITDA</x:v>
      </x:c>
      <x:c r="D36" s="85" t="n">
        <x:v>5.5</x:v>
      </x:c>
      <x:c r="E36" s="50"/>
      <x:c r="F36" s="77" t="str">
        <x:v>Debt policy</x:v>
      </x:c>
      <x:c r="G36" s="77" t="str">
        <x:v>Value</x:v>
      </x:c>
      <x:c r="H36" s="50"/>
      <x:c r="I36" s="122"/>
      <x:c r="J36" s="122"/>
      <x:c r="K36" s="122"/>
    </x:row>
    <x:row r="37">
      <x:c r="C37" s="50" t="str">
        <x:v>TLA share of EBITDA</x:v>
      </x:c>
      <x:c r="D37" s="85" t="n">
        <x:v>0.5</x:v>
      </x:c>
      <x:c r="E37" s="50"/>
      <x:c r="F37" s="50" t="str">
        <x:v>TLA mandatory amortization</x:v>
      </x:c>
      <x:c r="G37" s="83" t="n">
        <x:v>0.05</x:v>
      </x:c>
      <x:c r="H37" s="50"/>
      <x:c r="I37" s="122"/>
      <x:c r="J37" s="122"/>
      <x:c r="K37" s="122"/>
    </x:row>
    <x:row r="38">
      <x:c r="C38" s="50" t="str">
        <x:v>TLB share of EBITDA</x:v>
      </x:c>
      <x:c r="D38" s="85" t="n">
        <x:v>4.5</x:v>
      </x:c>
      <x:c r="E38" s="50"/>
      <x:c r="F38" s="50" t="str">
        <x:v>TLB mandatory amortization</x:v>
      </x:c>
      <x:c r="G38" s="83" t="n">
        <x:v>0.01</x:v>
      </x:c>
      <x:c r="H38" s="50"/>
      <x:c r="I38" s="122"/>
      <x:c r="J38" s="122"/>
      <x:c r="K38" s="122"/>
    </x:row>
    <x:row r="39">
      <x:c r="C39" s="50" t="str">
        <x:v>Notes share of EBITDA</x:v>
      </x:c>
      <x:c r="D39" s="85" t="n">
        <x:v>0.5</x:v>
      </x:c>
      <x:c r="E39" s="50"/>
      <x:c r="F39" s="50" t="str">
        <x:v>Minimum cash</x:v>
      </x:c>
      <x:c r="G39" s="84" t="n">
        <x:v>100</x:v>
      </x:c>
      <x:c r="H39" s="50"/>
      <x:c r="I39" s="122"/>
      <x:c r="J39" s="122"/>
      <x:c r="K39" s="122"/>
    </x:row>
    <x:row r="40">
      <x:c r="C40" s="50" t="str">
        <x:v>TLA interest rate</x:v>
      </x:c>
      <x:c r="D40" s="83" t="n">
        <x:v>0.07</x:v>
      </x:c>
      <x:c r="E40" s="50"/>
      <x:c r="F40" s="50" t="str">
        <x:v>Cash sweep</x:v>
      </x:c>
      <x:c r="G40" s="83" t="n">
        <x:v>1</x:v>
      </x:c>
      <x:c r="H40" s="50"/>
      <x:c r="I40" s="122"/>
      <x:c r="J40" s="122"/>
      <x:c r="K40" s="122"/>
    </x:row>
    <x:row r="41">
      <x:c r="C41" s="50" t="str">
        <x:v>TLB interest rate</x:v>
      </x:c>
      <x:c r="D41" s="83" t="n">
        <x:v>0.075</x:v>
      </x:c>
      <x:c r="E41" s="50"/>
      <x:c r="F41" s="50"/>
      <x:c r="G41" s="50"/>
      <x:c r="H41" s="50"/>
      <x:c r="I41" s="122"/>
      <x:c r="J41" s="122"/>
      <x:c r="K41" s="122"/>
    </x:row>
    <x:row r="42">
      <x:c r="C42" s="50" t="str">
        <x:v>Notes interest rate</x:v>
      </x:c>
      <x:c r="D42" s="83" t="n">
        <x:v>0.085</x:v>
      </x:c>
      <x:c r="E42" s="50"/>
      <x:c r="F42" s="50"/>
      <x:c r="G42" s="50"/>
      <x:c r="H42" s="50"/>
      <x:c r="I42" s="122"/>
      <x:c r="J42" s="122"/>
      <x:c r="K42" s="122"/>
    </x:row>
  </x:sheetData>
  <x:dataValidations count="1">
    <x:dataValidation type="list" sqref="D6">
      <x:formula1>"Bear,Base,Bull"</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2" hidden="0" customWidth="1"/>
    <x:col min="2" max="2" width="2" hidden="0" customWidth="1"/>
    <x:col min="3" max="3" width="36" hidden="0" customWidth="1"/>
    <x:col min="4" max="4" width="13" hidden="0" customWidth="1"/>
    <x:col min="5" max="5" width="13" hidden="0" customWidth="1"/>
    <x:col min="6" max="6" width="13" hidden="0" customWidth="1"/>
    <x:col min="7" max="7" width="3" hidden="0" customWidth="1"/>
    <x:col min="8" max="8" width="29" hidden="0" customWidth="1"/>
    <x:col min="9" max="9" width="14" hidden="0" customWidth="1"/>
    <x:col min="10" max="10" width="14" hidden="0" customWidth="1"/>
    <x:col min="11" max="11" width="18" hidden="0" customWidth="1"/>
  </x:cols>
  <x:sheetData>
    <x:row r="2">
      <x:c r="C2" s="2" t="str">
        <x:v>Historical Financials</x:v>
      </x:c>
      <x:c r="D2" s="121"/>
      <x:c r="E2" s="121"/>
      <x:c r="F2" s="121"/>
      <x:c r="G2" s="121"/>
      <x:c r="H2" s="121"/>
      <x:c r="I2" s="122"/>
      <x:c r="J2" s="122"/>
      <x:c r="K2" s="122"/>
    </x:row>
    <x:row r="3">
      <x:c r="C3" s="3" t="str">
        <x:v>Reported and management-adjusted measures | FY2022-FY2024 | USD millions</x:v>
      </x:c>
      <x:c r="D3" s="3"/>
      <x:c r="E3" s="3"/>
      <x:c r="F3" s="3"/>
      <x:c r="G3" s="3"/>
      <x:c r="H3" s="3"/>
      <x:c r="I3" s="122"/>
      <x:c r="J3" s="122"/>
      <x:c r="K3" s="122"/>
    </x:row>
    <x:row r="4">
      <x:c r="C4" s="122"/>
      <x:c r="D4" s="122"/>
      <x:c r="E4" s="122"/>
      <x:c r="F4" s="122"/>
      <x:c r="G4" s="122"/>
      <x:c r="H4" s="122"/>
      <x:c r="I4" s="122"/>
      <x:c r="J4" s="122"/>
      <x:c r="K4" s="122"/>
    </x:row>
    <x:row r="5">
      <x:c r="C5" s="122"/>
      <x:c r="D5" s="122"/>
      <x:c r="E5" s="122"/>
      <x:c r="F5" s="122"/>
      <x:c r="G5" s="122"/>
      <x:c r="H5" s="122"/>
      <x:c r="I5" s="122"/>
      <x:c r="J5" s="122"/>
      <x:c r="K5" s="122"/>
    </x:row>
    <x:row r="6">
      <x:c r="C6" s="77" t="str">
        <x:v>Metric</x:v>
      </x:c>
      <x:c r="D6" s="77" t="str">
        <x:v>FY2022</x:v>
      </x:c>
      <x:c r="E6" s="77" t="str">
        <x:v>FY2023</x:v>
      </x:c>
      <x:c r="F6" s="77" t="str">
        <x:v>FY2024</x:v>
      </x:c>
      <x:c r="G6" s="122"/>
      <x:c r="H6" s="77" t="str">
        <x:v>Adjustment issue</x:v>
      </x:c>
      <x:c r="I6" s="77" t="str">
        <x:v>2022</x:v>
      </x:c>
      <x:c r="J6" s="77" t="str">
        <x:v>2023</x:v>
      </x:c>
      <x:c r="K6" s="77" t="str">
        <x:v>2024</x:v>
      </x:c>
    </x:row>
    <x:row r="7">
      <x:c r="C7" s="50" t="str">
        <x:v>Revenue</x:v>
      </x:c>
      <x:c r="D7" s="89" t="n">
        <x:v>2224.6</x:v>
      </x:c>
      <x:c r="E7" s="89" t="n">
        <x:v>2314</x:v>
      </x:c>
      <x:c r="F7" s="89" t="n">
        <x:v>2381.7</x:v>
      </x:c>
      <x:c r="G7" s="122"/>
      <x:c r="H7" s="55" t="str">
        <x:v>Equity compensation</x:v>
      </x:c>
      <x:c r="I7" s="55" t="n">
        <x:v>66</x:v>
      </x:c>
      <x:c r="J7" s="55" t="n">
        <x:v>83.4</x:v>
      </x:c>
      <x:c r="K7" s="55" t="n">
        <x:v>67.6</x:v>
      </x:c>
    </x:row>
    <x:row r="8">
      <x:c r="C8" s="50" t="str">
        <x:v>Revenue growth</x:v>
      </x:c>
      <x:c r="D8" s="54"/>
      <x:c r="E8" s="54" t="n">
        <x:f>E7/D7-1</x:f>
        <x:v>0.04018699991009633</x:v>
      </x:c>
      <x:c r="F8" s="54" t="n">
        <x:f>F7/E7-1</x:f>
        <x:v>0.029256698357821964</x:v>
      </x:c>
      <x:c r="G8" s="122"/>
      <x:c r="H8" s="55" t="str">
        <x:v>Restructuring</x:v>
      </x:c>
      <x:c r="I8" s="55" t="n">
        <x:v>20.5</x:v>
      </x:c>
      <x:c r="J8" s="55" t="n">
        <x:v>13.2</x:v>
      </x:c>
      <x:c r="K8" s="55" t="n">
        <x:v>16.9</x:v>
      </x:c>
    </x:row>
    <x:row r="9">
      <x:c r="C9" s="50" t="str">
        <x:v>Adjusted EBITDA</x:v>
      </x:c>
      <x:c r="D9" s="89" t="n">
        <x:v>863.5</x:v>
      </x:c>
      <x:c r="E9" s="89" t="n">
        <x:v>892.2</x:v>
      </x:c>
      <x:c r="F9" s="89" t="n">
        <x:v>926.6</x:v>
      </x:c>
      <x:c r="G9" s="122"/>
      <x:c r="H9" s="55" t="str">
        <x:v>Other EBITDA adjustments</x:v>
      </x:c>
      <x:c r="I9" s="55" t="str">
        <x:v>See reconciliation</x:v>
      </x:c>
      <x:c r="J9" s="55" t="str">
        <x:v>See reconciliation</x:v>
      </x:c>
      <x:c r="K9" s="55" t="str">
        <x:v>See reconciliation</x:v>
      </x:c>
    </x:row>
    <x:row r="10">
      <x:c r="C10" s="50" t="str">
        <x:v>Adjusted EBITDA margin</x:v>
      </x:c>
      <x:c r="D10" s="54" t="n">
        <x:f>D9/D7</x:f>
        <x:v>0.38815966915400524</x:v>
      </x:c>
      <x:c r="E10" s="54" t="n">
        <x:f>E9/E7</x:f>
        <x:v>0.3855661192739845</x:v>
      </x:c>
      <x:c r="F10" s="54" t="n">
        <x:f>F9/F7</x:f>
        <x:v>0.3890498383507579</x:v>
      </x:c>
      <x:c r="G10" s="122"/>
      <x:c r="H10" s="55" t="str">
        <x:v>Reviewer conclusion</x:v>
      </x:c>
      <x:c r="I10" s="55" t="str">
        <x:v>Repeated add-backs require normalization</x:v>
      </x:c>
      <x:c r="J10" s="55" t="str"/>
      <x:c r="K10" s="55" t="str"/>
    </x:row>
    <x:row r="11">
      <x:c r="C11" s="50" t="str">
        <x:v>Reported operating income</x:v>
      </x:c>
      <x:c r="D11" s="89" t="n">
        <x:v>149.9</x:v>
      </x:c>
      <x:c r="E11" s="89" t="n">
        <x:v>140.3</x:v>
      </x:c>
      <x:c r="F11" s="89" t="n">
        <x:v>194.8</x:v>
      </x:c>
      <x:c r="G11" s="122"/>
      <x:c r="H11" s="122"/>
      <x:c r="I11" s="122"/>
      <x:c r="J11" s="122"/>
      <x:c r="K11" s="122"/>
    </x:row>
    <x:row r="12">
      <x:c r="C12" s="50" t="str">
        <x:v>Depreciation and amortization</x:v>
      </x:c>
      <x:c r="D12" s="89" t="n">
        <x:v>587.2</x:v>
      </x:c>
      <x:c r="E12" s="89" t="n">
        <x:v>586.8</x:v>
      </x:c>
      <x:c r="F12" s="89" t="n">
        <x:v>577.6</x:v>
      </x:c>
      <x:c r="G12" s="122"/>
      <x:c r="H12" s="122"/>
      <x:c r="I12" s="122"/>
      <x:c r="J12" s="122"/>
      <x:c r="K12" s="122"/>
    </x:row>
    <x:row r="13">
      <x:c r="C13" s="50" t="str">
        <x:v>Net interest expense</x:v>
      </x:c>
      <x:c r="D13" s="89" t="n">
        <x:v>191</x:v>
      </x:c>
      <x:c r="E13" s="89" t="n">
        <x:v>216.1</x:v>
      </x:c>
      <x:c r="F13" s="89" t="n">
        <x:v>256.4</x:v>
      </x:c>
      <x:c r="G13" s="122"/>
      <x:c r="H13" s="122"/>
      <x:c r="I13" s="122"/>
      <x:c r="J13" s="122"/>
      <x:c r="K13" s="122"/>
    </x:row>
    <x:row r="14">
      <x:c r="C14" s="50" t="str">
        <x:v>Net income attributable to D&amp;B</x:v>
      </x:c>
      <x:c r="D14" s="89" t="n">
        <x:v>-2.3</x:v>
      </x:c>
      <x:c r="E14" s="89" t="n">
        <x:v>-47</x:v>
      </x:c>
      <x:c r="F14" s="89" t="n">
        <x:v>-28.6</x:v>
      </x:c>
      <x:c r="G14" s="122"/>
      <x:c r="H14" s="122"/>
      <x:c r="I14" s="122"/>
      <x:c r="J14" s="122"/>
      <x:c r="K14" s="122"/>
    </x:row>
    <x:row r="15">
      <x:c r="C15" s="50" t="str">
        <x:v>Operating cash flow</x:v>
      </x:c>
      <x:c r="D15" s="89" t="n">
        <x:v>537.1</x:v>
      </x:c>
      <x:c r="E15" s="89" t="n">
        <x:v>452.2</x:v>
      </x:c>
      <x:c r="F15" s="89" t="n">
        <x:v>436.9</x:v>
      </x:c>
      <x:c r="G15" s="122"/>
      <x:c r="H15" s="122"/>
      <x:c r="I15" s="122"/>
      <x:c r="J15" s="122"/>
      <x:c r="K15" s="122"/>
    </x:row>
    <x:row r="16">
      <x:c r="C16" s="50" t="str">
        <x:v>Capital expenditures</x:v>
      </x:c>
      <x:c r="D16" s="89" t="n">
        <x:v>12.6</x:v>
      </x:c>
      <x:c r="E16" s="89" t="n">
        <x:v>4.7</x:v>
      </x:c>
      <x:c r="F16" s="89" t="n">
        <x:v>5.7</x:v>
      </x:c>
      <x:c r="G16" s="122"/>
      <x:c r="H16" s="122"/>
      <x:c r="I16" s="122"/>
      <x:c r="J16" s="122"/>
      <x:c r="K16" s="122"/>
    </x:row>
    <x:row r="17">
      <x:c r="C17" s="50" t="str">
        <x:v>Software and other intangible additions</x:v>
      </x:c>
      <x:c r="D17" s="89" t="n">
        <x:v>205.3</x:v>
      </x:c>
      <x:c r="E17" s="89" t="n">
        <x:v>194.7</x:v>
      </x:c>
      <x:c r="F17" s="89" t="n">
        <x:v>208.2</x:v>
      </x:c>
      <x:c r="G17" s="122"/>
      <x:c r="H17" s="122"/>
      <x:c r="I17" s="122"/>
      <x:c r="J17" s="122"/>
      <x:c r="K17" s="122"/>
    </x:row>
    <x:row r="18">
      <x:c r="C18" s="92" t="str">
        <x:v>Total cash investment</x:v>
      </x:c>
      <x:c r="D18" s="93" t="n">
        <x:f>D16+D17</x:f>
        <x:v>217.9</x:v>
      </x:c>
      <x:c r="E18" s="93" t="n">
        <x:f>E16+E17</x:f>
        <x:v>199.39999999999998</x:v>
      </x:c>
      <x:c r="F18" s="93" t="n">
        <x:f>F16+F17</x:f>
        <x:v>213.89999999999998</x:v>
      </x:c>
      <x:c r="G18" s="122"/>
      <x:c r="H18" s="122"/>
      <x:c r="I18" s="122"/>
      <x:c r="J18" s="122"/>
      <x:c r="K18" s="122"/>
    </x:row>
    <x:row r="19">
      <x:c r="C19" s="92" t="str">
        <x:v>Simple free cash flow</x:v>
      </x:c>
      <x:c r="D19" s="93" t="n">
        <x:f>D15-D18</x:f>
        <x:v>319.20000000000005</x:v>
      </x:c>
      <x:c r="E19" s="93" t="n">
        <x:f>E15-E18</x:f>
        <x:v>252.8</x:v>
      </x:c>
      <x:c r="F19" s="93" t="n">
        <x:f>F15-F18</x:f>
        <x:v>223</x:v>
      </x:c>
      <x:c r="G19" s="122"/>
      <x:c r="H19" s="122"/>
      <x:c r="I19" s="122"/>
      <x:c r="J19" s="122"/>
      <x:c r="K19" s="122"/>
    </x:row>
    <x:row r="20">
      <x:c r="C20" s="50" t="str">
        <x:v>Simple FCF / adjusted EBITDA</x:v>
      </x:c>
      <x:c r="D20" s="54" t="n">
        <x:f>D19/D9</x:f>
        <x:v>0.36965836711059646</x:v>
      </x:c>
      <x:c r="E20" s="54" t="n">
        <x:f>E19/E9</x:f>
        <x:v>0.2833445415826048</x:v>
      </x:c>
      <x:c r="F20" s="54" t="n">
        <x:f>F19/F9</x:f>
        <x:v>0.24066479602849125</x:v>
      </x:c>
      <x:c r="G20" s="122"/>
      <x:c r="H20" s="122"/>
      <x:c r="I20" s="122"/>
      <x:c r="J20" s="122"/>
      <x:c r="K20" s="122"/>
    </x:row>
    <x:row r="21">
      <x:c r="C21" s="50" t="str">
        <x:v>Cash and cash equivalents</x:v>
      </x:c>
      <x:c r="D21" s="89" t="n">
        <x:v>208.4</x:v>
      </x:c>
      <x:c r="E21" s="89" t="n">
        <x:v>188.1</x:v>
      </x:c>
      <x:c r="F21" s="89" t="n">
        <x:v>205.9</x:v>
      </x:c>
      <x:c r="G21" s="122"/>
      <x:c r="H21" s="122"/>
      <x:c r="I21" s="122"/>
      <x:c r="J21" s="122"/>
      <x:c r="K21" s="122"/>
    </x:row>
    <x:row r="22">
      <x:c r="C22" s="50" t="str">
        <x:v>Debt principal / carrying debt</x:v>
      </x:c>
      <x:c r="D22" s="89"/>
      <x:c r="E22" s="89" t="n">
        <x:v>3545.2</x:v>
      </x:c>
      <x:c r="F22" s="89" t="n">
        <x:v>3528.7</x:v>
      </x:c>
      <x:c r="G22" s="122"/>
      <x:c r="H22" s="122"/>
      <x:c r="I22" s="122"/>
      <x:c r="J22" s="122"/>
      <x:c r="K22" s="122"/>
    </x:row>
    <x:row r="23">
      <x:c r="C23" s="50" t="str">
        <x:v>Net debt</x:v>
      </x:c>
      <x:c r="D23" s="89"/>
      <x:c r="E23" s="89" t="n">
        <x:f>E22-E21</x:f>
        <x:v>3357.1</x:v>
      </x:c>
      <x:c r="F23" s="89" t="n">
        <x:f>F22-F21</x:f>
        <x:v>3322.7999999999997</x:v>
      </x:c>
      <x:c r="G23" s="122"/>
      <x:c r="H23" s="122"/>
      <x:c r="I23" s="122"/>
      <x:c r="J23" s="122"/>
      <x:c r="K23" s="122"/>
    </x:row>
    <x:row r="24">
      <x:c r="C24" s="50" t="str">
        <x:v>Gross leverage</x:v>
      </x:c>
      <x:c r="D24" s="53"/>
      <x:c r="E24" s="53"/>
      <x:c r="F24" s="53" t="n">
        <x:f>F22/F9</x:f>
        <x:v>3.808223613209583</x:v>
      </x:c>
      <x:c r="G24" s="122"/>
      <x:c r="H24" s="122"/>
      <x:c r="I24" s="122"/>
      <x:c r="J24" s="122"/>
      <x:c r="K24" s="122"/>
    </x:row>
    <x:row r="25">
      <x:c r="C25" s="50" t="str">
        <x:v>Net leverage</x:v>
      </x:c>
      <x:c r="D25" s="53"/>
      <x:c r="E25" s="53"/>
      <x:c r="F25" s="53" t="n">
        <x:f>F23/F9</x:f>
        <x:v>3.586013382257716</x:v>
      </x:c>
      <x:c r="G25" s="122"/>
      <x:c r="H25" s="122"/>
      <x:c r="I25" s="122"/>
      <x:c r="J25" s="122"/>
      <x:c r="K25" s="122"/>
    </x:row>
    <x:row r="26">
      <x:c r="C26" s="50" t="str">
        <x:v>Weighted average basic shares</x:v>
      </x:c>
      <x:c r="D26" s="89" t="n">
        <x:v>429.1</x:v>
      </x:c>
      <x:c r="E26" s="89" t="n">
        <x:v>430.5</x:v>
      </x:c>
      <x:c r="F26" s="89" t="n">
        <x:v>432.4</x:v>
      </x:c>
      <x:c r="G26" s="122"/>
      <x:c r="H26" s="122"/>
      <x:c r="I26" s="122"/>
      <x:c r="J26" s="122"/>
      <x:c r="K26" s="122"/>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38" hidden="0" customWidth="1"/>
    <x:col min="4" max="4" width="15" hidden="0" customWidth="1"/>
    <x:col min="5" max="5" width="15" hidden="0" customWidth="1"/>
    <x:col min="6" max="6" width="30" hidden="0" customWidth="1"/>
    <x:col min="7" max="7" width="15" hidden="0" customWidth="1"/>
    <x:col min="8" max="8" width="4" hidden="0" customWidth="1"/>
  </x:cols>
  <x:sheetData>
    <x:row r="2">
      <x:c r="C2" s="2" t="str">
        <x:v>Transaction and Sources and Uses</x:v>
      </x:c>
      <x:c r="D2" s="121"/>
      <x:c r="E2" s="121"/>
      <x:c r="F2" s="121"/>
      <x:c r="G2" s="121"/>
      <x:c r="H2" s="121"/>
    </x:row>
    <x:row r="3">
      <x:c r="C3" s="3" t="str">
        <x:v>Illustrative financing because final acquisition financing was not public at announcement</x:v>
      </x:c>
      <x:c r="D3" s="3"/>
      <x:c r="E3" s="3"/>
      <x:c r="F3" s="3"/>
      <x:c r="G3" s="3"/>
      <x:c r="H3" s="3"/>
    </x:row>
    <x:row r="4">
      <x:c r="C4" s="122"/>
      <x:c r="D4" s="122"/>
      <x:c r="E4" s="122"/>
      <x:c r="F4" s="122"/>
      <x:c r="G4" s="122"/>
      <x:c r="H4" s="122"/>
    </x:row>
    <x:row r="5">
      <x:c r="C5" s="122"/>
      <x:c r="D5" s="122"/>
      <x:c r="E5" s="122"/>
      <x:c r="F5" s="122"/>
      <x:c r="G5" s="122"/>
      <x:c r="H5" s="122"/>
    </x:row>
    <x:row r="6">
      <x:c r="C6" s="103" t="str">
        <x:v>Uses</x:v>
      </x:c>
      <x:c r="D6" s="104"/>
      <x:c r="E6" s="50"/>
      <x:c r="F6" s="103" t="str">
        <x:v>Sources</x:v>
      </x:c>
      <x:c r="G6" s="104"/>
      <x:c r="H6" s="50"/>
    </x:row>
    <x:row r="7">
      <x:c r="C7" s="50"/>
      <x:c r="D7" s="50"/>
      <x:c r="E7" s="50"/>
      <x:c r="F7" s="50"/>
      <x:c r="G7" s="50"/>
      <x:c r="H7" s="50"/>
    </x:row>
    <x:row r="8">
      <x:c r="C8" s="50" t="str">
        <x:v>Equity purchase price</x:v>
      </x:c>
      <x:c r="D8" s="52" t="n">
        <x:f>'Assumptions'!D31</x:f>
        <x:v>4100</x:v>
      </x:c>
      <x:c r="E8" s="50"/>
      <x:c r="F8" s="50" t="str">
        <x:v>Term Loan A</x:v>
      </x:c>
      <x:c r="G8" s="52" t="n">
        <x:f>'Historicals'!F9*'Assumptions'!D37</x:f>
        <x:v>463.3</x:v>
      </x:c>
      <x:c r="H8" s="50"/>
    </x:row>
    <x:row r="9">
      <x:c r="C9" s="50" t="str">
        <x:v>Refinance / assume existing debt</x:v>
      </x:c>
      <x:c r="D9" s="52" t="n">
        <x:f>'Assumptions'!D32</x:f>
        <x:v>3550.4</x:v>
      </x:c>
      <x:c r="E9" s="50"/>
      <x:c r="F9" s="50" t="str">
        <x:v>Term Loan B</x:v>
      </x:c>
      <x:c r="G9" s="52" t="n">
        <x:f>'Historicals'!F9*'Assumptions'!D38</x:f>
        <x:v>4169.7</x:v>
      </x:c>
      <x:c r="H9" s="50"/>
    </x:row>
    <x:row r="10">
      <x:c r="C10" s="50" t="str">
        <x:v>Less: cash acquired</x:v>
      </x:c>
      <x:c r="D10" s="52" t="n">
        <x:f>-'Assumptions'!D33</x:f>
        <x:v>-205.9</x:v>
      </x:c>
      <x:c r="E10" s="50"/>
      <x:c r="F10" s="50" t="str">
        <x:v>Senior notes</x:v>
      </x:c>
      <x:c r="G10" s="52" t="n">
        <x:f>'Historicals'!F9*'Assumptions'!D39</x:f>
        <x:v>463.3</x:v>
      </x:c>
      <x:c r="H10" s="50"/>
    </x:row>
    <x:row r="11">
      <x:c r="C11" s="50" t="str">
        <x:v>Transaction fees</x:v>
      </x:c>
      <x:c r="D11" s="52" t="n">
        <x:f>7700*'Assumptions'!D34</x:f>
        <x:v>154</x:v>
      </x:c>
      <x:c r="E11" s="50"/>
      <x:c r="F11" s="50" t="str">
        <x:v>Total debt sources</x:v>
      </x:c>
      <x:c r="G11" s="52" t="n">
        <x:f>SUM(G8:G10)</x:f>
        <x:v>5096.3</x:v>
      </x:c>
      <x:c r="H11" s="50"/>
    </x:row>
    <x:row r="12">
      <x:c r="C12" s="50" t="str">
        <x:v>Financing fees</x:v>
      </x:c>
      <x:c r="D12" s="52" t="n">
        <x:f>G11*'Assumptions'!D35</x:f>
        <x:v>101.926</x:v>
      </x:c>
      <x:c r="E12" s="50"/>
      <x:c r="F12" s="50" t="str">
        <x:v>Sponsor equity</x:v>
      </x:c>
      <x:c r="G12" s="52" t="n">
        <x:f>D13-G11</x:f>
        <x:v>2604.126</x:v>
      </x:c>
      <x:c r="H12" s="50"/>
    </x:row>
    <x:row r="13">
      <x:c r="C13" s="92" t="str">
        <x:v>Total uses</x:v>
      </x:c>
      <x:c r="D13" s="105" t="n">
        <x:f>SUM(D8:D12)</x:f>
        <x:v>7700.426</x:v>
      </x:c>
      <x:c r="E13" s="50"/>
      <x:c r="F13" s="92" t="str">
        <x:v>Total sources</x:v>
      </x:c>
      <x:c r="G13" s="105" t="n">
        <x:f>SUM(G11:G12)</x:f>
        <x:v>7700.426</x:v>
      </x:c>
      <x:c r="H13" s="50"/>
    </x:row>
    <x:row r="14">
      <x:c r="C14" s="50" t="str">
        <x:v>Uses check</x:v>
      </x:c>
      <x:c r="D14" s="52"/>
      <x:c r="E14" s="50"/>
      <x:c r="F14" s="50" t="str">
        <x:v>Sources less uses</x:v>
      </x:c>
      <x:c r="G14" s="52" t="n">
        <x:f>G13-D13</x:f>
        <x:v>0</x:v>
      </x:c>
      <x:c r="H14" s="50"/>
    </x:row>
    <x:row r="15">
      <x:c r="C15" s="50"/>
      <x:c r="D15" s="50"/>
      <x:c r="E15" s="50"/>
      <x:c r="F15" s="50"/>
      <x:c r="G15" s="50"/>
      <x:c r="H15" s="50"/>
    </x:row>
    <x:row r="16">
      <x:c r="C16" s="50"/>
      <x:c r="D16" s="50"/>
      <x:c r="E16" s="50"/>
      <x:c r="F16" s="50"/>
      <x:c r="G16" s="50"/>
      <x:c r="H16" s="50"/>
    </x:row>
    <x:row r="17">
      <x:c r="C17" s="50"/>
      <x:c r="D17" s="50"/>
      <x:c r="E17" s="50"/>
      <x:c r="F17" s="50"/>
      <x:c r="G17" s="50"/>
      <x:c r="H17" s="50"/>
    </x:row>
    <x:row r="18">
      <x:c r="C18" s="50"/>
      <x:c r="D18" s="77" t="str">
        <x:v>Key metrics</x:v>
      </x:c>
      <x:c r="E18" s="77" t="str">
        <x:v>Value</x:v>
      </x:c>
      <x:c r="F18" s="50"/>
      <x:c r="G18" s="50"/>
      <x:c r="H18" s="50"/>
    </x:row>
    <x:row r="19">
      <x:c r="C19" s="50"/>
      <x:c r="D19" s="50" t="str">
        <x:v>Disclosed transaction value</x:v>
      </x:c>
      <x:c r="E19" s="52" t="n">
        <x:v>7700</x:v>
      </x:c>
      <x:c r="F19" s="50"/>
      <x:c r="G19" s="50"/>
      <x:c r="H19" s="50"/>
    </x:row>
    <x:row r="20">
      <x:c r="C20" s="50"/>
      <x:c r="D20" s="50" t="str">
        <x:v>Entry EV / adjusted EBITDA</x:v>
      </x:c>
      <x:c r="E20" s="53" t="n">
        <x:f>E19/'Historicals'!F9</x:f>
        <x:v>8.30995035614073</x:v>
      </x:c>
      <x:c r="F20" s="50"/>
      <x:c r="G20" s="50"/>
      <x:c r="H20" s="50"/>
    </x:row>
    <x:row r="21">
      <x:c r="C21" s="50"/>
      <x:c r="D21" s="50" t="str">
        <x:v>Sponsor equity</x:v>
      </x:c>
      <x:c r="E21" s="52" t="n">
        <x:f>G12</x:f>
        <x:v>2604.126</x:v>
      </x:c>
      <x:c r="F21" s="50"/>
      <x:c r="G21" s="50"/>
      <x:c r="H21" s="50"/>
    </x:row>
    <x:row r="22">
      <x:c r="C22" s="50"/>
      <x:c r="D22" s="50" t="str">
        <x:v>Sponsor equity / uses</x:v>
      </x:c>
      <x:c r="E22" s="54" t="n">
        <x:f>E21/D13</x:f>
        <x:v>0.3381794721486837</x:v>
      </x:c>
      <x:c r="F22" s="50"/>
      <x:c r="G22" s="50"/>
      <x:c r="H22" s="50"/>
    </x:row>
    <x:row r="23">
      <x:c r="C23" s="50"/>
      <x:c r="D23" s="50"/>
      <x:c r="E23" s="50"/>
      <x:c r="F23" s="50"/>
      <x:c r="G23" s="50"/>
      <x:c r="H23" s="50"/>
    </x:row>
    <x:row r="24">
      <x:c r="C24" s="50"/>
      <x:c r="D24" s="50"/>
      <x:c r="E24" s="50"/>
      <x:c r="F24" s="50"/>
      <x:c r="G24" s="50"/>
      <x:c r="H24" s="50"/>
    </x:row>
    <x:row r="25">
      <x:c r="C25" s="50"/>
      <x:c r="D25" s="50"/>
      <x:c r="E25" s="50"/>
      <x:c r="F25" s="50"/>
      <x:c r="G25" s="50"/>
      <x:c r="H25" s="50"/>
    </x:row>
    <x:row r="26">
      <x:c r="C26" s="77" t="str">
        <x:v>Leverage case</x:v>
      </x:c>
      <x:c r="D26" s="77" t="str">
        <x:v>Debt / EBITDA</x:v>
      </x:c>
      <x:c r="E26" s="77" t="str">
        <x:v>Sponsor equity</x:v>
      </x:c>
      <x:c r="F26" s="50"/>
      <x:c r="G26" s="50"/>
      <x:c r="H26" s="50"/>
    </x:row>
    <x:row r="27">
      <x:c r="C27" s="50" t="str">
        <x:v>Low</x:v>
      </x:c>
      <x:c r="D27" s="53" t="n">
        <x:v>5</x:v>
      </x:c>
      <x:c r="E27" s="52" t="n">
        <x:f>D13-D27*'Historicals'!F9</x:f>
        <x:v>3067.4260000000004</x:v>
      </x:c>
      <x:c r="F27" s="50"/>
      <x:c r="G27" s="50"/>
      <x:c r="H27" s="50"/>
    </x:row>
    <x:row r="28">
      <x:c r="C28" s="50" t="str">
        <x:v>Base</x:v>
      </x:c>
      <x:c r="D28" s="53" t="n">
        <x:v>5.5</x:v>
      </x:c>
      <x:c r="E28" s="52" t="n">
        <x:f>D13-D28*'Historicals'!F9</x:f>
        <x:v>2604.126</x:v>
      </x:c>
      <x:c r="F28" s="50"/>
      <x:c r="G28" s="50"/>
      <x:c r="H28" s="50"/>
    </x:row>
    <x:row r="29">
      <x:c r="C29" s="50" t="str">
        <x:v>High</x:v>
      </x:c>
      <x:c r="D29" s="53" t="n">
        <x:v>6</x:v>
      </x:c>
      <x:c r="E29" s="52" t="n">
        <x:f>D13-D29*'Historicals'!F9</x:f>
        <x:v>2140.826</x:v>
      </x:c>
      <x:c r="F29" s="50"/>
      <x:c r="G29" s="50"/>
      <x:c r="H29" s="50"/>
    </x:row>
    <x:row r="30">
      <x:c r="C30" s="50" t="str">
        <x:v>Selected entry debt / EBITDA</x:v>
      </x:c>
      <x:c r="D30" s="53" t="n">
        <x:f>'Assumptions'!D36</x:f>
        <x:v>5.5</x:v>
      </x:c>
      <x:c r="E30" s="52" t="n">
        <x:f>G12</x:f>
        <x:v>2604.126</x:v>
      </x:c>
      <x:c r="F30" s="50"/>
      <x:c r="G30" s="50"/>
      <x:c r="H30" s="50"/>
    </x:row>
    <x:row r="31">
      <x:c r="C31" s="50"/>
      <x:c r="D31" s="50"/>
      <x:c r="E31" s="50"/>
      <x:c r="F31" s="50"/>
      <x:c r="G31" s="50"/>
      <x:c r="H31" s="50"/>
    </x:row>
    <x:row r="32">
      <x:c r="C32" s="50"/>
      <x:c r="D32" s="50"/>
      <x:c r="E32" s="50"/>
      <x:c r="F32" s="50"/>
      <x:c r="G32" s="50"/>
      <x:c r="H32" s="50"/>
    </x:row>
    <x:row r="33">
      <x:c r="C33" s="102" t="str">
        <x:v>Reconciliation note: the announced $7.7bn transaction value is treated as enterprise value. The illustrative uses also include fees, while year-end debt and cash do not exactly bridge to the rounded announced equity and transaction values. The model preserves the announced figures and shows fees separately rather than forcing an exact accounting identity.</x:v>
      </x:c>
      <x:c r="D33" s="102"/>
      <x:c r="E33" s="102"/>
      <x:c r="F33" s="102"/>
      <x:c r="G33" s="102"/>
      <x:c r="H33" s="102"/>
    </x:row>
    <x:row r="34">
      <x:c r="C34" s="102"/>
      <x:c r="D34" s="102"/>
      <x:c r="E34" s="102"/>
      <x:c r="F34" s="102"/>
      <x:c r="G34" s="102"/>
      <x:c r="H34" s="102"/>
    </x:row>
    <x:row r="35">
      <x:c r="C35" s="102"/>
      <x:c r="D35" s="102"/>
      <x:c r="E35" s="102"/>
      <x:c r="F35" s="102"/>
      <x:c r="G35" s="102"/>
      <x:c r="H35" s="102"/>
    </x:row>
  </x:sheetData>
  <x:mergeCells>
    <x:mergeCell ref="C33:H35"/>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3" ySplit="7" topLeftCell="D8" activePane="bottomRight" state="frozen"/>
    </x:sheetView>
  </x:sheetViews>
  <x:sheetFormatPr defaultRowHeight="15"/>
  <x:cols>
    <x:col min="1" max="1" width="2" hidden="0" customWidth="1"/>
    <x:col min="2" max="2" width="2" hidden="0" customWidth="1"/>
    <x:col min="3" max="3" width="39"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s>
  <x:sheetData>
    <x:row r="2">
      <x:c r="C2" s="2" t="str">
        <x:v>Operating Case</x:v>
      </x:c>
      <x:c r="D2" s="121"/>
      <x:c r="E2" s="121"/>
      <x:c r="F2" s="121"/>
      <x:c r="G2" s="121"/>
      <x:c r="H2" s="121"/>
      <x:c r="I2" s="121"/>
      <x:c r="J2" s="121"/>
      <x:c r="K2" s="121"/>
    </x:row>
    <x:row r="3">
      <x:c r="C3" s="3" t="str">
        <x:v>FY2022-FY2024 actual; FY2025-FY2029 selected scenario forecast</x:v>
      </x:c>
      <x:c r="D3" s="3"/>
      <x:c r="E3" s="3"/>
      <x:c r="F3" s="3"/>
      <x:c r="G3" s="3"/>
      <x:c r="H3" s="3"/>
      <x:c r="I3" s="3"/>
      <x:c r="J3" s="3"/>
      <x:c r="K3" s="3"/>
    </x:row>
    <x:row r="4">
      <x:c r="C4" s="122"/>
      <x:c r="D4" s="122"/>
      <x:c r="E4" s="122"/>
      <x:c r="F4" s="122"/>
      <x:c r="G4" s="122"/>
      <x:c r="H4" s="122"/>
      <x:c r="I4" s="122"/>
      <x:c r="J4" s="122"/>
      <x:c r="K4" s="122"/>
    </x:row>
    <x:row r="5">
      <x:c r="C5" s="122"/>
      <x:c r="D5" s="122"/>
      <x:c r="E5" s="122"/>
      <x:c r="F5" s="122"/>
      <x:c r="G5" s="122"/>
      <x:c r="H5" s="122"/>
      <x:c r="I5" s="122"/>
      <x:c r="J5" s="122"/>
      <x:c r="K5" s="122"/>
    </x:row>
    <x:row r="6">
      <x:c r="C6" s="77" t="str">
        <x:v>Metric</x:v>
      </x:c>
      <x:c r="D6" s="77" t="str">
        <x:v>FY2022A</x:v>
      </x:c>
      <x:c r="E6" s="77" t="str">
        <x:v>FY2023A</x:v>
      </x:c>
      <x:c r="F6" s="77" t="str">
        <x:v>FY2024A</x:v>
      </x:c>
      <x:c r="G6" s="77" t="str">
        <x:v>FY2025E</x:v>
      </x:c>
      <x:c r="H6" s="77" t="str">
        <x:v>FY2026E</x:v>
      </x:c>
      <x:c r="I6" s="77" t="str">
        <x:v>FY2027E</x:v>
      </x:c>
      <x:c r="J6" s="77" t="str">
        <x:v>FY2028E</x:v>
      </x:c>
      <x:c r="K6" s="77" t="str">
        <x:v>FY2029E</x:v>
      </x:c>
    </x:row>
    <x:row r="7">
      <x:c r="C7" s="77" t="str">
        <x:v>Status</x:v>
      </x:c>
      <x:c r="D7" s="77" t="str">
        <x:v>Actual</x:v>
      </x:c>
      <x:c r="E7" s="77" t="str">
        <x:v>Actual</x:v>
      </x:c>
      <x:c r="F7" s="77" t="str">
        <x:v>Actual</x:v>
      </x:c>
      <x:c r="G7" s="77" t="str">
        <x:v>Forecast</x:v>
      </x:c>
      <x:c r="H7" s="77" t="str">
        <x:v>Forecast</x:v>
      </x:c>
      <x:c r="I7" s="77" t="str">
        <x:v>Forecast</x:v>
      </x:c>
      <x:c r="J7" s="77" t="str">
        <x:v>Forecast</x:v>
      </x:c>
      <x:c r="K7" s="77" t="str">
        <x:v>Forecast</x:v>
      </x:c>
    </x:row>
    <x:row r="8">
      <x:c r="C8" s="50"/>
      <x:c r="D8" s="50"/>
      <x:c r="E8" s="50"/>
      <x:c r="F8" s="50"/>
      <x:c r="G8" s="50"/>
      <x:c r="H8" s="50"/>
      <x:c r="I8" s="50"/>
      <x:c r="J8" s="50"/>
      <x:c r="K8" s="50"/>
    </x:row>
    <x:row r="9">
      <x:c r="C9" s="50" t="str">
        <x:v>Revenue</x:v>
      </x:c>
      <x:c r="D9" s="89" t="n">
        <x:f>'Historicals'!D7</x:f>
        <x:v>2224.6</x:v>
      </x:c>
      <x:c r="E9" s="89" t="n">
        <x:f>'Historicals'!E7</x:f>
        <x:v>2314</x:v>
      </x:c>
      <x:c r="F9" s="89" t="n">
        <x:f>'Historicals'!F7</x:f>
        <x:v>2381.7</x:v>
      </x:c>
      <x:c r="G9" s="89" t="n">
        <x:f>F9*(1+'Assumptions'!D24)</x:f>
        <x:v>2469.8228999999997</x:v>
      </x:c>
      <x:c r="H9" s="89" t="n">
        <x:f>G9*(1+'Assumptions'!E24)</x:f>
        <x:v>2556.2667014999993</x:v>
      </x:c>
      <x:c r="I9" s="89" t="n">
        <x:f>H9*(1+'Assumptions'!F24)</x:f>
        <x:v>2645.736036052499</x:v>
      </x:c>
      <x:c r="J9" s="89" t="n">
        <x:f>I9*(1+'Assumptions'!G24)</x:f>
        <x:v>2738.3367973143363</x:v>
      </x:c>
      <x:c r="K9" s="89" t="n">
        <x:f>J9*(1+'Assumptions'!H24)</x:f>
        <x:v>2834.178585220338</x:v>
      </x:c>
    </x:row>
    <x:row r="10">
      <x:c r="C10" s="50" t="str">
        <x:v>Revenue growth</x:v>
      </x:c>
      <x:c r="D10" s="54"/>
      <x:c r="E10" s="54" t="n">
        <x:f>'Historicals'!E8</x:f>
        <x:v>0.04018699991009633</x:v>
      </x:c>
      <x:c r="F10" s="54" t="n">
        <x:f>'Historicals'!F8</x:f>
        <x:v>0.029256698357821964</x:v>
      </x:c>
      <x:c r="G10" s="54" t="n">
        <x:f>'Assumptions'!D24</x:f>
        <x:v>0.037</x:v>
      </x:c>
      <x:c r="H10" s="54" t="n">
        <x:f>'Assumptions'!E24</x:f>
        <x:v>0.035</x:v>
      </x:c>
      <x:c r="I10" s="54" t="n">
        <x:f>'Assumptions'!F24</x:f>
        <x:v>0.035</x:v>
      </x:c>
      <x:c r="J10" s="54" t="n">
        <x:f>'Assumptions'!G24</x:f>
        <x:v>0.035</x:v>
      </x:c>
      <x:c r="K10" s="54" t="n">
        <x:f>'Assumptions'!H24</x:f>
        <x:v>0.035</x:v>
      </x:c>
    </x:row>
    <x:row r="11">
      <x:c r="C11" s="50" t="str">
        <x:v>Adjusted EBITDA</x:v>
      </x:c>
      <x:c r="D11" s="89" t="n">
        <x:f>'Historicals'!D9</x:f>
        <x:v>863.5</x:v>
      </x:c>
      <x:c r="E11" s="89" t="n">
        <x:f>'Historicals'!E9</x:f>
        <x:v>892.2</x:v>
      </x:c>
      <x:c r="F11" s="89" t="n">
        <x:f>'Historicals'!F9</x:f>
        <x:v>926.6</x:v>
      </x:c>
      <x:c r="G11" s="89" t="n">
        <x:f>G9*'Assumptions'!D25</x:f>
        <x:v>969.8994528299999</x:v>
      </x:c>
      <x:c r="H11" s="89" t="n">
        <x:f>H9*'Assumptions'!E25</x:f>
        <x:v>1014.8378804954998</x:v>
      </x:c>
      <x:c r="I11" s="89" t="n">
        <x:f>I9*'Assumptions'!F25</x:f>
        <x:v>1060.9401504570521</x:v>
      </x:c>
      <x:c r="J11" s="89" t="n">
        <x:f>J9*'Assumptions'!G25</x:f>
        <x:v>1109.0264029123064</x:v>
      </x:c>
      <x:c r="K11" s="89" t="n">
        <x:f>K9*'Assumptions'!H25</x:f>
        <x:v>1156.3448627698979</x:v>
      </x:c>
    </x:row>
    <x:row r="12">
      <x:c r="C12" s="50" t="str">
        <x:v>Adjusted EBITDA margin</x:v>
      </x:c>
      <x:c r="D12" s="54" t="n">
        <x:f>'Historicals'!D10</x:f>
        <x:v>0.38815966915400524</x:v>
      </x:c>
      <x:c r="E12" s="54" t="n">
        <x:f>'Historicals'!E10</x:f>
        <x:v>0.3855661192739845</x:v>
      </x:c>
      <x:c r="F12" s="54" t="n">
        <x:f>'Historicals'!F10</x:f>
        <x:v>0.3890498383507579</x:v>
      </x:c>
      <x:c r="G12" s="54" t="n">
        <x:f>'Assumptions'!D25</x:f>
        <x:v>0.3927</x:v>
      </x:c>
      <x:c r="H12" s="54" t="n">
        <x:f>'Assumptions'!E25</x:f>
        <x:v>0.397</x:v>
      </x:c>
      <x:c r="I12" s="54" t="n">
        <x:f>'Assumptions'!F25</x:f>
        <x:v>0.401</x:v>
      </x:c>
      <x:c r="J12" s="54" t="n">
        <x:f>'Assumptions'!G25</x:f>
        <x:v>0.405</x:v>
      </x:c>
      <x:c r="K12" s="54" t="n">
        <x:f>'Assumptions'!H25</x:f>
        <x:v>0.408</x:v>
      </x:c>
    </x:row>
    <x:row r="13">
      <x:c r="C13" s="50" t="str">
        <x:v>Cash interest</x:v>
      </x:c>
      <x:c r="D13" s="89"/>
      <x:c r="E13" s="89"/>
      <x:c r="F13" s="89"/>
      <x:c r="G13" s="89" t="n">
        <x:f>'Debt Schedule'!D30</x:f>
        <x:v>382.1645875</x:v>
      </x:c>
      <x:c r="H13" s="89" t="n">
        <x:f>'Debt Schedule'!E30</x:f>
        <x:v>361.81442225071993</x:v>
      </x:c>
      <x:c r="I13" s="89" t="n">
        <x:f>'Debt Schedule'!F30</x:f>
        <x:v>337.10602186172093</x:v>
      </x:c>
      <x:c r="J13" s="89" t="n">
        <x:f>'Debt Schedule'!G30</x:f>
        <x:v>307.63054597759816</x:v>
      </x:c>
      <x:c r="K13" s="89" t="n">
        <x:f>'Debt Schedule'!H30</x:f>
        <x:v>272.8901391297468</x:v>
      </x:c>
    </x:row>
    <x:row r="14">
      <x:c r="C14" s="50" t="str">
        <x:v>Cash taxes</x:v>
      </x:c>
      <x:c r="D14" s="89"/>
      <x:c r="E14" s="89"/>
      <x:c r="F14" s="89"/>
      <x:c r="G14" s="89" t="n">
        <x:f>G11*'Assumptions'!D27</x:f>
        <x:v>96.989945283</x:v>
      </x:c>
      <x:c r="H14" s="89" t="n">
        <x:f>H11*'Assumptions'!E27</x:f>
        <x:v>101.48378804954999</x:v>
      </x:c>
      <x:c r="I14" s="89" t="n">
        <x:f>I11*'Assumptions'!F27</x:f>
        <x:v>106.09401504570522</x:v>
      </x:c>
      <x:c r="J14" s="89" t="n">
        <x:f>J11*'Assumptions'!G27</x:f>
        <x:v>110.90264029123064</x:v>
      </x:c>
      <x:c r="K14" s="89" t="n">
        <x:f>K11*'Assumptions'!H27</x:f>
        <x:v>115.63448627698979</x:v>
      </x:c>
    </x:row>
    <x:row r="15">
      <x:c r="C15" s="50" t="str">
        <x:v>Total capex and software investment</x:v>
      </x:c>
      <x:c r="D15" s="89"/>
      <x:c r="E15" s="89"/>
      <x:c r="F15" s="89"/>
      <x:c r="G15" s="89" t="n">
        <x:f>G9*'Assumptions'!D26</x:f>
        <x:v>197.58583199999998</x:v>
      </x:c>
      <x:c r="H15" s="89" t="n">
        <x:f>H9*'Assumptions'!E26</x:f>
        <x:v>199.38880271699995</x:v>
      </x:c>
      <x:c r="I15" s="89" t="n">
        <x:f>I9*'Assumptions'!F26</x:f>
        <x:v>201.0759387399899</x:v>
      </x:c>
      <x:c r="J15" s="89" t="n">
        <x:f>J9*'Assumptions'!G26</x:f>
        <x:v>202.63692300126087</x:v>
      </x:c>
      <x:c r="K15" s="89" t="n">
        <x:f>K9*'Assumptions'!H26</x:f>
        <x:v>204.06085813586432</x:v>
      </x:c>
    </x:row>
    <x:row r="16">
      <x:c r="C16" s="50" t="str">
        <x:v>Change in net working capital</x:v>
      </x:c>
      <x:c r="D16" s="89"/>
      <x:c r="E16" s="89"/>
      <x:c r="F16" s="89"/>
      <x:c r="G16" s="89" t="n">
        <x:f>(G9-F9)*'Assumptions'!D28</x:f>
        <x:v>0.8812289999999985</x:v>
      </x:c>
      <x:c r="H16" s="89" t="n">
        <x:f>(H9-G9)*'Assumptions'!E28</x:f>
        <x:v>0.8644380149999961</x:v>
      </x:c>
      <x:c r="I16" s="89" t="n">
        <x:f>(I9-H9)*'Assumptions'!F28</x:f>
        <x:v>0.8946933455249974</x:v>
      </x:c>
      <x:c r="J16" s="89" t="n">
        <x:f>(J9-I9)*'Assumptions'!G28</x:f>
        <x:v>0.926007612618373</x:v>
      </x:c>
      <x:c r="K16" s="89" t="n">
        <x:f>(K9-J9)*'Assumptions'!H28</x:f>
        <x:v>0.9584178790600163</x:v>
      </x:c>
    </x:row>
    <x:row r="17">
      <x:c r="C17" s="50" t="str">
        <x:v>Recurring cash-cost reserve</x:v>
      </x:c>
      <x:c r="D17" s="89"/>
      <x:c r="E17" s="89"/>
      <x:c r="F17" s="89"/>
      <x:c r="G17" s="89" t="n">
        <x:f>G11*'Assumptions'!D21</x:f>
        <x:v>19.397989056599997</x:v>
      </x:c>
      <x:c r="H17" s="89" t="n">
        <x:f>H11*'Assumptions'!E21</x:f>
        <x:v>20.296757609909996</x:v>
      </x:c>
      <x:c r="I17" s="89" t="n">
        <x:f>I11*'Assumptions'!F21</x:f>
        <x:v>21.218803009141045</x:v>
      </x:c>
      <x:c r="J17" s="89" t="n">
        <x:f>J11*'Assumptions'!G21</x:f>
        <x:v>22.18052805824613</x:v>
      </x:c>
      <x:c r="K17" s="89" t="n">
        <x:f>K11*'Assumptions'!H21</x:f>
        <x:v>23.126897255397957</x:v>
      </x:c>
    </x:row>
    <x:row r="18">
      <x:c r="C18" s="92" t="str">
        <x:v>Cash available before debt repayment</x:v>
      </x:c>
      <x:c r="D18" s="93"/>
      <x:c r="E18" s="93"/>
      <x:c r="F18" s="93"/>
      <x:c r="G18" s="93" t="n">
        <x:f>G11-G13-G14-G15-G16-G17</x:f>
        <x:v>272.8798699903998</x:v>
      </x:c>
      <x:c r="H18" s="93" t="n">
        <x:f>H11-H13-H14-H15-H16-H17</x:f>
        <x:v>330.98967185332</x:v>
      </x:c>
      <x:c r="I18" s="93" t="n">
        <x:f>I11-I13-I14-I15-I16-I17</x:f>
        <x:v>394.55067845497007</x:v>
      </x:c>
      <x:c r="J18" s="93" t="n">
        <x:f>J11-J13-J14-J15-J16-J17</x:f>
        <x:v>464.7497579713522</x:v>
      </x:c>
      <x:c r="K18" s="93" t="n">
        <x:f>K11-K13-K14-K15-K16-K17</x:f>
        <x:v>539.674064092839</x:v>
      </x:c>
    </x:row>
    <x:row r="19">
      <x:c r="C19" s="50" t="str">
        <x:v>Cash conversion / EBITDA</x:v>
      </x:c>
      <x:c r="D19" s="50"/>
      <x:c r="E19" s="50"/>
      <x:c r="F19" s="50"/>
      <x:c r="G19" s="54" t="n">
        <x:f>G18/G11</x:f>
        <x:v>0.2813486173171696</x:v>
      </x:c>
      <x:c r="H19" s="54" t="n">
        <x:f>H18/H11</x:f>
        <x:v>0.326150292785398</x:v>
      </x:c>
      <x:c r="I19" s="54" t="n">
        <x:f>I18/I11</x:f>
        <x:v>0.3718877811203563</x:v>
      </x:c>
      <x:c r="J19" s="54" t="n">
        <x:f>J18/J11</x:f>
        <x:v>0.4190610401618195</x:v>
      </x:c>
      <x:c r="K19" s="54" t="n">
        <x:f>K18/K11</x:f>
        <x:v>0.46670684626047343</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3" ySplit="6" topLeftCell="D7" activePane="bottomRight" state="frozen"/>
    </x:sheetView>
  </x:sheetViews>
  <x:sheetFormatPr defaultRowHeight="15"/>
  <x:cols>
    <x:col min="1" max="1" width="2" hidden="0" customWidth="1"/>
    <x:col min="2" max="2" width="2" hidden="0" customWidth="1"/>
    <x:col min="3" max="3" width="39" hidden="0" customWidth="1"/>
    <x:col min="4" max="4" width="14" hidden="0" customWidth="1"/>
    <x:col min="5" max="5" width="14" hidden="0" customWidth="1"/>
    <x:col min="6" max="6" width="14" hidden="0" customWidth="1"/>
    <x:col min="7" max="7" width="14" hidden="0" customWidth="1"/>
    <x:col min="8" max="8" width="14" hidden="0" customWidth="1"/>
  </x:cols>
  <x:sheetData>
    <x:row r="2">
      <x:c r="C2" s="2" t="str">
        <x:v>Debt Schedule</x:v>
      </x:c>
      <x:c r="D2" s="121"/>
      <x:c r="E2" s="121"/>
      <x:c r="F2" s="121"/>
      <x:c r="G2" s="121"/>
      <x:c r="H2" s="121"/>
    </x:row>
    <x:row r="3">
      <x:c r="C3" s="3" t="str">
        <x:v>Illustrative debt tranches; interest uses average debt before optional cash sweep to avoid circularity</x:v>
      </x:c>
      <x:c r="D3" s="3"/>
      <x:c r="E3" s="3"/>
      <x:c r="F3" s="3"/>
      <x:c r="G3" s="3"/>
      <x:c r="H3" s="3"/>
    </x:row>
    <x:row r="4">
      <x:c r="C4" s="122"/>
      <x:c r="D4" s="122"/>
      <x:c r="E4" s="122"/>
      <x:c r="F4" s="122"/>
      <x:c r="G4" s="122"/>
      <x:c r="H4" s="122"/>
    </x:row>
    <x:row r="5">
      <x:c r="C5" s="122"/>
      <x:c r="D5" s="122"/>
      <x:c r="E5" s="122"/>
      <x:c r="F5" s="122"/>
      <x:c r="G5" s="122"/>
      <x:c r="H5" s="122"/>
    </x:row>
    <x:row r="6">
      <x:c r="C6" s="77" t="str">
        <x:v>Metric</x:v>
      </x:c>
      <x:c r="D6" s="77" t="str">
        <x:v>FY2025</x:v>
      </x:c>
      <x:c r="E6" s="77" t="str">
        <x:v>FY2026</x:v>
      </x:c>
      <x:c r="F6" s="77" t="str">
        <x:v>FY2027</x:v>
      </x:c>
      <x:c r="G6" s="77" t="str">
        <x:v>FY2028</x:v>
      </x:c>
      <x:c r="H6" s="77" t="str">
        <x:v>FY2029</x:v>
      </x:c>
    </x:row>
    <x:row r="7">
      <x:c r="C7" s="50"/>
      <x:c r="D7" s="50"/>
      <x:c r="E7" s="50"/>
      <x:c r="F7" s="50"/>
      <x:c r="G7" s="50"/>
      <x:c r="H7" s="50"/>
    </x:row>
    <x:row r="8">
      <x:c r="C8" s="50" t="str">
        <x:v>Term Loan A - opening</x:v>
      </x:c>
      <x:c r="D8" s="89" t="n">
        <x:f>'Transaction'!G8</x:f>
        <x:v>463.3</x:v>
      </x:c>
      <x:c r="E8" s="89" t="n">
        <x:f>D11</x:f>
        <x:v>440.135</x:v>
      </x:c>
      <x:c r="F8" s="89" t="n">
        <x:f>E11</x:f>
        <x:v>416.96999999999997</x:v>
      </x:c>
      <x:c r="G8" s="89" t="n">
        <x:f>F11</x:f>
        <x:v>393.80499999999995</x:v>
      </x:c>
      <x:c r="H8" s="89" t="n">
        <x:f>G11</x:f>
        <x:v>370.63999999999993</x:v>
      </x:c>
    </x:row>
    <x:row r="9">
      <x:c r="C9" s="50" t="str">
        <x:v>Mandatory amortization</x:v>
      </x:c>
      <x:c r="D9" s="89" t="n">
        <x:f>MIN(D8,'Transaction'!$G$8*'Assumptions'!$G$37)</x:f>
        <x:v>23.165000000000003</x:v>
      </x:c>
      <x:c r="E9" s="89" t="n">
        <x:f>MIN(E8,'Transaction'!$G$8*'Assumptions'!$G$37)</x:f>
        <x:v>23.165000000000003</x:v>
      </x:c>
      <x:c r="F9" s="89" t="n">
        <x:f>MIN(F8,'Transaction'!$G$8*'Assumptions'!$G$37)</x:f>
        <x:v>23.165000000000003</x:v>
      </x:c>
      <x:c r="G9" s="89" t="n">
        <x:f>MIN(G8,'Transaction'!$G$8*'Assumptions'!$G$37)</x:f>
        <x:v>23.165000000000003</x:v>
      </x:c>
      <x:c r="H9" s="89" t="n">
        <x:f>MIN(H8,'Transaction'!$G$8*'Assumptions'!$G$37)</x:f>
        <x:v>23.165000000000003</x:v>
      </x:c>
    </x:row>
    <x:row r="10">
      <x:c r="C10" s="50" t="str">
        <x:v>Optional repayment</x:v>
      </x:c>
      <x:c r="D10" s="89" t="n">
        <x:v>0</x:v>
      </x:c>
      <x:c r="E10" s="89" t="n">
        <x:v>0</x:v>
      </x:c>
      <x:c r="F10" s="89" t="n">
        <x:v>0</x:v>
      </x:c>
      <x:c r="G10" s="89" t="n">
        <x:v>0</x:v>
      </x:c>
      <x:c r="H10" s="89" t="n">
        <x:v>0</x:v>
      </x:c>
    </x:row>
    <x:row r="11">
      <x:c r="C11" s="50" t="str">
        <x:v>Term Loan A - closing</x:v>
      </x:c>
      <x:c r="D11" s="89" t="n">
        <x:f>D8-D9-D10</x:f>
        <x:v>440.135</x:v>
      </x:c>
      <x:c r="E11" s="89" t="n">
        <x:f>E8-E9-E10</x:f>
        <x:v>416.96999999999997</x:v>
      </x:c>
      <x:c r="F11" s="89" t="n">
        <x:f>F8-F9-F10</x:f>
        <x:v>393.80499999999995</x:v>
      </x:c>
      <x:c r="G11" s="89" t="n">
        <x:f>G8-G9-G10</x:f>
        <x:v>370.63999999999993</x:v>
      </x:c>
      <x:c r="H11" s="89" t="n">
        <x:f>H8-H9-H10</x:f>
        <x:v>347.4749999999999</x:v>
      </x:c>
    </x:row>
    <x:row r="12">
      <x:c r="C12" s="50" t="str"/>
      <x:c r="D12" s="89"/>
      <x:c r="E12" s="89"/>
      <x:c r="F12" s="89"/>
      <x:c r="G12" s="89"/>
      <x:c r="H12" s="89"/>
    </x:row>
    <x:row r="13">
      <x:c r="C13" s="50" t="str">
        <x:v>Term Loan B - opening</x:v>
      </x:c>
      <x:c r="D13" s="89" t="n">
        <x:f>'Transaction'!G9</x:f>
        <x:v>4169.7</x:v>
      </x:c>
      <x:c r="E13" s="89" t="n">
        <x:f>D16</x:f>
        <x:v>3919.9851300095997</x:v>
      </x:c>
      <x:c r="F13" s="89" t="n">
        <x:f>E16</x:f>
        <x:v>3612.1604581562797</x:v>
      </x:c>
      <x:c r="G13" s="89" t="n">
        <x:f>F16</x:f>
        <x:v>3240.7747797013094</x:v>
      </x:c>
      <x:c r="H13" s="89" t="n">
        <x:f>G16</x:f>
        <x:v>2799.190021729957</x:v>
      </x:c>
    </x:row>
    <x:row r="14">
      <x:c r="C14" s="50" t="str">
        <x:v>Mandatory amortization</x:v>
      </x:c>
      <x:c r="D14" s="89" t="n">
        <x:f>MIN(D13,'Transaction'!$G$9*'Assumptions'!$G$38)</x:f>
        <x:v>41.696999999999996</x:v>
      </x:c>
      <x:c r="E14" s="89" t="n">
        <x:f>MIN(E13,'Transaction'!$G$9*'Assumptions'!$G$38)</x:f>
        <x:v>41.696999999999996</x:v>
      </x:c>
      <x:c r="F14" s="89" t="n">
        <x:f>MIN(F13,'Transaction'!$G$9*'Assumptions'!$G$38)</x:f>
        <x:v>41.696999999999996</x:v>
      </x:c>
      <x:c r="G14" s="89" t="n">
        <x:f>MIN(G13,'Transaction'!$G$9*'Assumptions'!$G$38)</x:f>
        <x:v>41.696999999999996</x:v>
      </x:c>
      <x:c r="H14" s="89" t="n">
        <x:f>MIN(H13,'Transaction'!$G$9*'Assumptions'!$G$38)</x:f>
        <x:v>41.696999999999996</x:v>
      </x:c>
    </x:row>
    <x:row r="15">
      <x:c r="C15" s="50" t="str">
        <x:v>Optional repayment</x:v>
      </x:c>
      <x:c r="D15" s="89" t="n">
        <x:f>MIN(D13-D14,D32)</x:f>
        <x:v>208.01786999039982</x:v>
      </x:c>
      <x:c r="E15" s="89" t="n">
        <x:f>MIN(E13-E14,E32)</x:f>
        <x:v>266.12767185331995</x:v>
      </x:c>
      <x:c r="F15" s="89" t="n">
        <x:f>MIN(F13-F14,F32)</x:f>
        <x:v>329.68867845497005</x:v>
      </x:c>
      <x:c r="G15" s="89" t="n">
        <x:f>MIN(G13-G14,G32)</x:f>
        <x:v>399.8877579713522</x:v>
      </x:c>
      <x:c r="H15" s="89" t="n">
        <x:f>MIN(H13-H14,H32)</x:f>
        <x:v>474.812064092839</x:v>
      </x:c>
    </x:row>
    <x:row r="16">
      <x:c r="C16" s="50" t="str">
        <x:v>Term Loan B - closing</x:v>
      </x:c>
      <x:c r="D16" s="89" t="n">
        <x:f>D13-D14-D15</x:f>
        <x:v>3919.9851300095997</x:v>
      </x:c>
      <x:c r="E16" s="89" t="n">
        <x:f>E13-E14-E15</x:f>
        <x:v>3612.1604581562797</x:v>
      </x:c>
      <x:c r="F16" s="89" t="n">
        <x:f>F13-F14-F15</x:f>
        <x:v>3240.7747797013094</x:v>
      </x:c>
      <x:c r="G16" s="89" t="n">
        <x:f>G13-G14-G15</x:f>
        <x:v>2799.190021729957</x:v>
      </x:c>
      <x:c r="H16" s="89" t="n">
        <x:f>H13-H14-H15</x:f>
        <x:v>2282.680957637118</x:v>
      </x:c>
    </x:row>
    <x:row r="17">
      <x:c r="C17" s="50" t="str"/>
      <x:c r="D17" s="89"/>
      <x:c r="E17" s="89"/>
      <x:c r="F17" s="89"/>
      <x:c r="G17" s="89"/>
      <x:c r="H17" s="89"/>
    </x:row>
    <x:row r="18">
      <x:c r="C18" s="50" t="str">
        <x:v>Senior notes - opening</x:v>
      </x:c>
      <x:c r="D18" s="89" t="n">
        <x:f>'Transaction'!G10</x:f>
        <x:v>463.3</x:v>
      </x:c>
      <x:c r="E18" s="89" t="n">
        <x:f>D21</x:f>
        <x:v>463.3</x:v>
      </x:c>
      <x:c r="F18" s="89" t="n">
        <x:f>E21</x:f>
        <x:v>463.3</x:v>
      </x:c>
      <x:c r="G18" s="89" t="n">
        <x:f>F21</x:f>
        <x:v>463.3</x:v>
      </x:c>
      <x:c r="H18" s="89" t="n">
        <x:f>G21</x:f>
        <x:v>463.3</x:v>
      </x:c>
    </x:row>
    <x:row r="19">
      <x:c r="C19" s="50" t="str">
        <x:v>Mandatory amortization</x:v>
      </x:c>
      <x:c r="D19" s="89" t="n">
        <x:v>0</x:v>
      </x:c>
      <x:c r="E19" s="89" t="n">
        <x:v>0</x:v>
      </x:c>
      <x:c r="F19" s="89" t="n">
        <x:v>0</x:v>
      </x:c>
      <x:c r="G19" s="89" t="n">
        <x:v>0</x:v>
      </x:c>
      <x:c r="H19" s="89" t="n">
        <x:v>0</x:v>
      </x:c>
    </x:row>
    <x:row r="20">
      <x:c r="C20" s="50" t="str">
        <x:v>Optional repayment</x:v>
      </x:c>
      <x:c r="D20" s="89" t="n">
        <x:v>0</x:v>
      </x:c>
      <x:c r="E20" s="89" t="n">
        <x:v>0</x:v>
      </x:c>
      <x:c r="F20" s="89" t="n">
        <x:v>0</x:v>
      </x:c>
      <x:c r="G20" s="89" t="n">
        <x:v>0</x:v>
      </x:c>
      <x:c r="H20" s="89" t="n">
        <x:v>0</x:v>
      </x:c>
    </x:row>
    <x:row r="21">
      <x:c r="C21" s="50" t="str">
        <x:v>Senior notes - closing</x:v>
      </x:c>
      <x:c r="D21" s="89" t="n">
        <x:f>D18-D19-D20</x:f>
        <x:v>463.3</x:v>
      </x:c>
      <x:c r="E21" s="89" t="n">
        <x:f>E18-E19-E20</x:f>
        <x:v>463.3</x:v>
      </x:c>
      <x:c r="F21" s="89" t="n">
        <x:f>F18-F19-F20</x:f>
        <x:v>463.3</x:v>
      </x:c>
      <x:c r="G21" s="89" t="n">
        <x:f>G18-G19-G20</x:f>
        <x:v>463.3</x:v>
      </x:c>
      <x:c r="H21" s="89" t="n">
        <x:f>H18-H19-H20</x:f>
        <x:v>463.3</x:v>
      </x:c>
    </x:row>
    <x:row r="22">
      <x:c r="C22" s="50" t="str"/>
      <x:c r="D22" s="89"/>
      <x:c r="E22" s="89"/>
      <x:c r="F22" s="89"/>
      <x:c r="G22" s="89"/>
      <x:c r="H22" s="89"/>
    </x:row>
    <x:row r="23">
      <x:c r="C23" s="92" t="str">
        <x:v>Total opening debt</x:v>
      </x:c>
      <x:c r="D23" s="93" t="n">
        <x:f>SUM(D8,D13,D18)</x:f>
        <x:v>5096.3</x:v>
      </x:c>
      <x:c r="E23" s="93" t="n">
        <x:f>SUM(E8,E13,E18)</x:f>
        <x:v>4823.4201300096</x:v>
      </x:c>
      <x:c r="F23" s="93" t="n">
        <x:f>SUM(F8,F13,F18)</x:f>
        <x:v>4492.430458156279</x:v>
      </x:c>
      <x:c r="G23" s="93" t="n">
        <x:f>SUM(G8,G13,G18)</x:f>
        <x:v>4097.879779701309</x:v>
      </x:c>
      <x:c r="H23" s="93" t="n">
        <x:f>SUM(H8,H13,H18)</x:f>
        <x:v>3633.130021729957</x:v>
      </x:c>
    </x:row>
    <x:row r="24">
      <x:c r="C24" s="90" t="str">
        <x:v>Total closing debt</x:v>
      </x:c>
      <x:c r="D24" s="91" t="n">
        <x:f>SUM(D11,D16,D21)</x:f>
        <x:v>4823.4201300096</x:v>
      </x:c>
      <x:c r="E24" s="91" t="n">
        <x:f>SUM(E11,E16,E21)</x:f>
        <x:v>4492.430458156279</x:v>
      </x:c>
      <x:c r="F24" s="91" t="n">
        <x:f>SUM(F11,F16,F21)</x:f>
        <x:v>4097.879779701309</x:v>
      </x:c>
      <x:c r="G24" s="91" t="n">
        <x:f>SUM(G11,G16,G21)</x:f>
        <x:v>3633.130021729957</x:v>
      </x:c>
      <x:c r="H24" s="91" t="n">
        <x:f>SUM(H11,H16,H21)</x:f>
        <x:v>3093.455957637118</x:v>
      </x:c>
    </x:row>
    <x:row r="25">
      <x:c r="C25" s="50" t="str">
        <x:v>Debt / EBITDA</x:v>
      </x:c>
      <x:c r="D25" s="53" t="n">
        <x:f>D24/'Operating Case'!G11</x:f>
        <x:v>4.973113569592899</x:v>
      </x:c>
      <x:c r="E25" s="53" t="n">
        <x:f>E24/'Operating Case'!H11</x:f>
        <x:v>4.42674691642652</x:v>
      </x:c>
      <x:c r="F25" s="53" t="n">
        <x:f>F24/'Operating Case'!I11</x:f>
        <x:v>3.8624985376752368</x:v>
      </x:c>
      <x:c r="G25" s="53" t="n">
        <x:f>G24/'Operating Case'!J11</x:f>
        <x:v>3.27596350473654</x:v>
      </x:c>
      <x:c r="H25" s="53" t="n">
        <x:f>H24/'Operating Case'!K11</x:f>
        <x:v>2.6752018859037276</x:v>
      </x:c>
    </x:row>
    <x:row r="26">
      <x:c r="C26" s="50" t="str"/>
      <x:c r="D26" s="89"/>
      <x:c r="E26" s="89"/>
      <x:c r="F26" s="89"/>
      <x:c r="G26" s="89"/>
      <x:c r="H26" s="89"/>
    </x:row>
    <x:row r="27">
      <x:c r="C27" s="50" t="str">
        <x:v>TLA cash interest</x:v>
      </x:c>
      <x:c r="D27" s="89" t="n">
        <x:f>((D8+D8-D9)/2)*'Assumptions'!$D$40</x:f>
        <x:v>31.620225000000005</x:v>
      </x:c>
      <x:c r="E27" s="89" t="n">
        <x:f>((E8+E8-E9)/2)*'Assumptions'!$D$40</x:f>
        <x:v>29.998675000000002</x:v>
      </x:c>
      <x:c r="F27" s="89" t="n">
        <x:f>((F8+F8-F9)/2)*'Assumptions'!$D$40</x:f>
        <x:v>28.377125000000003</x:v>
      </x:c>
      <x:c r="G27" s="89" t="n">
        <x:f>((G8+G8-G9)/2)*'Assumptions'!$D$40</x:f>
        <x:v>26.755575</x:v>
      </x:c>
      <x:c r="H27" s="89" t="n">
        <x:f>((H8+H8-H9)/2)*'Assumptions'!$D$40</x:f>
        <x:v>25.134024999999998</x:v>
      </x:c>
    </x:row>
    <x:row r="28">
      <x:c r="C28" s="50" t="str">
        <x:v>TLB cash interest</x:v>
      </x:c>
      <x:c r="D28" s="89" t="n">
        <x:f>((D13+D13-D14)/2)*'Assumptions'!$D$41</x:f>
        <x:v>311.1638625</x:v>
      </x:c>
      <x:c r="E28" s="89" t="n">
        <x:f>((E13+E13-E14)/2)*'Assumptions'!$D$41</x:f>
        <x:v>292.43524725071995</x:v>
      </x:c>
      <x:c r="F28" s="89" t="n">
        <x:f>((F13+F13-F14)/2)*'Assumptions'!$D$41</x:f>
        <x:v>269.34839686172097</x:v>
      </x:c>
      <x:c r="G28" s="89" t="n">
        <x:f>((G13+G13-G14)/2)*'Assumptions'!$D$41</x:f>
        <x:v>241.49447097759818</x:v>
      </x:c>
      <x:c r="H28" s="89" t="n">
        <x:f>((H13+H13-H14)/2)*'Assumptions'!$D$41</x:f>
        <x:v>208.37561412974677</x:v>
      </x:c>
    </x:row>
    <x:row r="29">
      <x:c r="C29" s="50" t="str">
        <x:v>Notes cash interest</x:v>
      </x:c>
      <x:c r="D29" s="89" t="n">
        <x:f>D18*'Assumptions'!$D$42</x:f>
        <x:v>39.380500000000005</x:v>
      </x:c>
      <x:c r="E29" s="89" t="n">
        <x:f>E18*'Assumptions'!$D$42</x:f>
        <x:v>39.380500000000005</x:v>
      </x:c>
      <x:c r="F29" s="89" t="n">
        <x:f>F18*'Assumptions'!$D$42</x:f>
        <x:v>39.380500000000005</x:v>
      </x:c>
      <x:c r="G29" s="89" t="n">
        <x:f>G18*'Assumptions'!$D$42</x:f>
        <x:v>39.380500000000005</x:v>
      </x:c>
      <x:c r="H29" s="89" t="n">
        <x:f>H18*'Assumptions'!$D$42</x:f>
        <x:v>39.380500000000005</x:v>
      </x:c>
    </x:row>
    <x:row r="30">
      <x:c r="C30" s="92" t="str">
        <x:v>Total cash interest</x:v>
      </x:c>
      <x:c r="D30" s="93" t="n">
        <x:f>SUM(D27:D29)</x:f>
        <x:v>382.1645875</x:v>
      </x:c>
      <x:c r="E30" s="93" t="n">
        <x:f>SUM(E27:E29)</x:f>
        <x:v>361.81442225071993</x:v>
      </x:c>
      <x:c r="F30" s="93" t="n">
        <x:f>SUM(F27:F29)</x:f>
        <x:v>337.10602186172093</x:v>
      </x:c>
      <x:c r="G30" s="93" t="n">
        <x:f>SUM(G27:G29)</x:f>
        <x:v>307.63054597759816</x:v>
      </x:c>
      <x:c r="H30" s="93" t="n">
        <x:f>SUM(H27:H29)</x:f>
        <x:v>272.8901391297468</x:v>
      </x:c>
    </x:row>
    <x:row r="31">
      <x:c r="C31" s="50" t="str"/>
      <x:c r="D31" s="89"/>
      <x:c r="E31" s="89"/>
      <x:c r="F31" s="89"/>
      <x:c r="G31" s="89"/>
      <x:c r="H31" s="89"/>
    </x:row>
    <x:row r="32">
      <x:c r="C32" s="50" t="str">
        <x:v>Cash available for optional repayment</x:v>
      </x:c>
      <x:c r="D32" s="89" t="n">
        <x:f>MAX(0,'Operating Case'!G18-D9-D14-D19)</x:f>
        <x:v>208.01786999039982</x:v>
      </x:c>
      <x:c r="E32" s="89" t="n">
        <x:f>MAX(0,'Operating Case'!H18-E9-E14-E19)</x:f>
        <x:v>266.12767185331995</x:v>
      </x:c>
      <x:c r="F32" s="89" t="n">
        <x:f>MAX(0,'Operating Case'!I18-F9-F14-F19)</x:f>
        <x:v>329.68867845497005</x:v>
      </x:c>
      <x:c r="G32" s="89" t="n">
        <x:f>MAX(0,'Operating Case'!J18-G9-G14-G19)</x:f>
        <x:v>399.8877579713522</x:v>
      </x:c>
      <x:c r="H32" s="89" t="n">
        <x:f>MAX(0,'Operating Case'!K18-H9-H14-H19)</x:f>
        <x:v>474.812064092839</x:v>
      </x:c>
    </x:row>
    <x:row r="33">
      <x:c r="C33" s="50" t="str">
        <x:v>Cash used for optional repayment</x:v>
      </x:c>
      <x:c r="D33" s="89" t="n">
        <x:f>SUM(D10,D15,D20)</x:f>
        <x:v>208.01786999039982</x:v>
      </x:c>
      <x:c r="E33" s="89" t="n">
        <x:f>SUM(E10,E15,E20)</x:f>
        <x:v>266.12767185331995</x:v>
      </x:c>
      <x:c r="F33" s="89" t="n">
        <x:f>SUM(F10,F15,F20)</x:f>
        <x:v>329.68867845497005</x:v>
      </x:c>
      <x:c r="G33" s="89" t="n">
        <x:f>SUM(G10,G15,G20)</x:f>
        <x:v>399.8877579713522</x:v>
      </x:c>
      <x:c r="H33" s="89" t="n">
        <x:f>SUM(H10,H15,H20)</x:f>
        <x:v>474.812064092839</x:v>
      </x:c>
    </x:row>
    <x:row r="34">
      <x:c r="C34" s="50" t="str">
        <x:v>Unused cash after sweep</x:v>
      </x:c>
      <x:c r="D34" s="89" t="n">
        <x:f>D32-D33</x:f>
        <x:v>0</x:v>
      </x:c>
      <x:c r="E34" s="89" t="n">
        <x:f>E32-E33</x:f>
        <x:v>0</x:v>
      </x:c>
      <x:c r="F34" s="89" t="n">
        <x:f>F32-F33</x:f>
        <x:v>0</x:v>
      </x:c>
      <x:c r="G34" s="89" t="n">
        <x:f>G32-G33</x:f>
        <x:v>0</x:v>
      </x:c>
      <x:c r="H34" s="89" t="n">
        <x:f>H32-H33</x:f>
        <x:v>0</x:v>
      </x:c>
    </x:row>
    <x:row r="35">
      <x:c r="C35" s="50" t="str">
        <x:v>Cash sweep check</x:v>
      </x:c>
      <x:c r="D35" s="110" t="str">
        <x:f>IF(D33&lt;=D32+0.1,"PASS","FAIL")</x:f>
        <x:v>PASS</x:v>
      </x:c>
      <x:c r="E35" s="110" t="str">
        <x:f>IF(E33&lt;=E32+0.1,"PASS","FAIL")</x:f>
        <x:v>PASS</x:v>
      </x:c>
      <x:c r="F35" s="110" t="str">
        <x:f>IF(F33&lt;=F32+0.1,"PASS","FAIL")</x:f>
        <x:v>PASS</x:v>
      </x:c>
      <x:c r="G35" s="110" t="str">
        <x:f>IF(G33&lt;=G32+0.1,"PASS","FAIL")</x:f>
        <x:v>PASS</x:v>
      </x:c>
      <x:c r="H35" s="110" t="str">
        <x:f>IF(H33&lt;=H32+0.1,"PASS","FAIL")</x:f>
        <x:v>PASS</x:v>
      </x:c>
    </x:row>
  </x:sheetData>
  <x:conditionalFormatting sqref="D35:H35">
    <x:cfRule type="containsText" dxfId="0" priority="1" operator="containsText" text="FAIL"/>
    <x:cfRule type="containsText" dxfId="1" priority="2" operator="containsText" text="PASS"/>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39" hidden="0" customWidth="1"/>
    <x:col min="4" max="4" width="16" hidden="0" customWidth="1"/>
    <x:col min="5" max="5" width="14" hidden="0" customWidth="1"/>
    <x:col min="6" max="6" width="30" hidden="0" customWidth="1"/>
    <x:col min="7" max="7" width="18" hidden="0" customWidth="1"/>
    <x:col min="8" max="8" width="14" hidden="0" customWidth="1"/>
  </x:cols>
  <x:sheetData>
    <x:row r="2">
      <x:c r="C2" s="2" t="str">
        <x:v>LBO Returns</x:v>
      </x:c>
      <x:c r="D2" s="121"/>
      <x:c r="E2" s="121"/>
      <x:c r="F2" s="121"/>
      <x:c r="G2" s="121"/>
      <x:c r="H2" s="121"/>
    </x:row>
    <x:row r="3">
      <x:c r="C3" s="3" t="str">
        <x:v>Five-year gross sponsor return; no management rollover or interim distributions assumed</x:v>
      </x:c>
      <x:c r="D3" s="3"/>
      <x:c r="E3" s="3"/>
      <x:c r="F3" s="3"/>
      <x:c r="G3" s="3"/>
      <x:c r="H3" s="3"/>
    </x:row>
    <x:row r="4">
      <x:c r="C4" s="122"/>
      <x:c r="D4" s="122"/>
      <x:c r="E4" s="122"/>
      <x:c r="F4" s="122"/>
      <x:c r="G4" s="122"/>
      <x:c r="H4" s="122"/>
    </x:row>
    <x:row r="5">
      <x:c r="C5" s="122"/>
      <x:c r="D5" s="122"/>
      <x:c r="E5" s="122"/>
      <x:c r="F5" s="122"/>
      <x:c r="G5" s="122"/>
      <x:c r="H5" s="122"/>
    </x:row>
    <x:row r="6">
      <x:c r="C6" s="103" t="str">
        <x:v>Base-case exit</x:v>
      </x:c>
      <x:c r="D6" s="104"/>
      <x:c r="E6" s="50"/>
      <x:c r="F6" s="103" t="str">
        <x:v>Return attribution</x:v>
      </x:c>
      <x:c r="G6" s="115"/>
      <x:c r="H6" s="104"/>
    </x:row>
    <x:row r="7">
      <x:c r="C7" s="50"/>
      <x:c r="D7" s="50"/>
      <x:c r="E7" s="50"/>
      <x:c r="F7" s="50"/>
      <x:c r="G7" s="50"/>
      <x:c r="H7" s="50"/>
    </x:row>
    <x:row r="8">
      <x:c r="C8" s="50" t="str">
        <x:v>Entry sponsor equity</x:v>
      </x:c>
      <x:c r="D8" s="52" t="n">
        <x:f>'Transaction'!G12</x:f>
        <x:v>2604.126</x:v>
      </x:c>
      <x:c r="E8" s="50"/>
      <x:c r="F8" s="77" t="str">
        <x:v>Component</x:v>
      </x:c>
      <x:c r="G8" s="77" t="str">
        <x:v>Equity value contribution</x:v>
      </x:c>
      <x:c r="H8" s="50"/>
    </x:row>
    <x:row r="9">
      <x:c r="C9" s="50" t="str">
        <x:v>Exit EBITDA</x:v>
      </x:c>
      <x:c r="D9" s="52" t="n">
        <x:f>'Operating Case'!K11</x:f>
        <x:v>1156.3448627698979</x:v>
      </x:c>
      <x:c r="E9" s="50"/>
      <x:c r="F9" s="50" t="str">
        <x:v>EBITDA growth at entry multiple</x:v>
      </x:c>
      <x:c r="G9" s="52" t="n">
        <x:f>(D9-'Historicals'!F9)*'Transaction'!E20</x:f>
        <x:v>1909.1684041962158</x:v>
      </x:c>
      <x:c r="H9" s="50"/>
    </x:row>
    <x:row r="10">
      <x:c r="C10" s="50" t="str">
        <x:v>Exit multiple</x:v>
      </x:c>
      <x:c r="D10" s="53" t="n">
        <x:f>'Assumptions'!G34</x:f>
        <x:v>8.3</x:v>
      </x:c>
      <x:c r="E10" s="50"/>
      <x:c r="F10" s="50" t="str">
        <x:v>Multiple change</x:v>
      </x:c>
      <x:c r="G10" s="52" t="n">
        <x:f>D9*(D10-'Transaction'!E20)</x:f>
        <x:v>-11.50604320606318</x:v>
      </x:c>
      <x:c r="H10" s="50"/>
    </x:row>
    <x:row r="11">
      <x:c r="C11" s="50" t="str">
        <x:v>Exit enterprise value</x:v>
      </x:c>
      <x:c r="D11" s="52" t="n">
        <x:f>D9*D10</x:f>
        <x:v>9597.662360990153</x:v>
      </x:c>
      <x:c r="E11" s="50"/>
      <x:c r="F11" s="50" t="str">
        <x:v>Debt paydown</x:v>
      </x:c>
      <x:c r="G11" s="52" t="n">
        <x:f>'Transaction'!G11-D12</x:f>
        <x:v>2002.8440423628822</x:v>
      </x:c>
      <x:c r="H11" s="50"/>
    </x:row>
    <x:row r="12">
      <x:c r="C12" s="50" t="str">
        <x:v>Exit net debt</x:v>
      </x:c>
      <x:c r="D12" s="52" t="n">
        <x:f>'Debt Schedule'!H24</x:f>
        <x:v>3093.455957637118</x:v>
      </x:c>
      <x:c r="E12" s="50"/>
      <x:c r="F12" s="50" t="str">
        <x:v>Fees / cash / bridge residual</x:v>
      </x:c>
      <x:c r="G12" s="52" t="n">
        <x:f>D13-D8-SUM(G9:G11)</x:f>
        <x:v>-0.4259999999999309</x:v>
      </x:c>
      <x:c r="H12" s="50"/>
    </x:row>
    <x:row r="13">
      <x:c r="C13" s="50" t="str">
        <x:v>Sponsor proceeds</x:v>
      </x:c>
      <x:c r="D13" s="52" t="n">
        <x:f>D11-D12</x:f>
        <x:v>6504.206403353035</x:v>
      </x:c>
      <x:c r="E13" s="50"/>
      <x:c r="F13" s="92" t="str">
        <x:v>Total increase in sponsor value</x:v>
      </x:c>
      <x:c r="G13" s="105" t="n">
        <x:f>SUM(G9:G12)</x:f>
        <x:v>3900.080403353035</x:v>
      </x:c>
      <x:c r="H13" s="50"/>
    </x:row>
    <x:row r="14">
      <x:c r="C14" s="50" t="str">
        <x:v>Holding period</x:v>
      </x:c>
      <x:c r="D14" s="116" t="n">
        <x:f>'Assumptions'!D7</x:f>
        <x:v>5</x:v>
      </x:c>
      <x:c r="E14" s="50"/>
      <x:c r="F14" s="50"/>
      <x:c r="G14" s="50"/>
      <x:c r="H14" s="50"/>
    </x:row>
    <x:row r="15">
      <x:c r="C15" s="50" t="str">
        <x:v>Gross MOIC</x:v>
      </x:c>
      <x:c r="D15" s="53" t="n">
        <x:f>D13/D8</x:f>
        <x:v>2.4976542622565248</x:v>
      </x:c>
      <x:c r="E15" s="50"/>
      <x:c r="F15" s="50"/>
      <x:c r="G15" s="50"/>
      <x:c r="H15" s="50"/>
    </x:row>
    <x:row r="16">
      <x:c r="C16" s="50" t="str">
        <x:v>Gross IRR</x:v>
      </x:c>
      <x:c r="D16" s="54" t="n">
        <x:f>D15^(1/D14)-1</x:f>
        <x:v>0.2008989475028473</x:v>
      </x:c>
      <x:c r="E16" s="50"/>
      <x:c r="F16" s="50"/>
      <x:c r="G16" s="50"/>
      <x:c r="H16" s="50"/>
    </x:row>
    <x:row r="17">
      <x:c r="C17" s="50" t="str">
        <x:v>Break-even exit multiple at 20% IRR</x:v>
      </x:c>
      <x:c r="D17" s="53" t="n">
        <x:f>(D8*(1+20%)^D14+D12)/D9</x:f>
        <x:v>8.27897893974743</x:v>
      </x:c>
      <x:c r="E17" s="50"/>
      <x:c r="F17" s="50"/>
      <x:c r="G17" s="50"/>
      <x:c r="H17" s="50"/>
    </x:row>
    <x:row r="18">
      <x:c r="C18" s="50" t="str">
        <x:v>Break-even exit multiple at 25% IRR</x:v>
      </x:c>
      <x:c r="D18" s="53" t="n">
        <x:f>(D8*(1+25%)^D14+D12)/D9</x:f>
        <x:v>9.547859101846917</x:v>
      </x:c>
      <x:c r="E18" s="50"/>
      <x:c r="F18" s="50"/>
      <x:c r="G18" s="50"/>
      <x:c r="H18" s="50"/>
    </x:row>
    <x:row r="19">
      <x:c r="C19" s="50"/>
      <x:c r="D19" s="50"/>
      <x:c r="E19" s="50"/>
      <x:c r="F19" s="50"/>
      <x:c r="G19" s="50"/>
      <x:c r="H19" s="50"/>
    </x:row>
    <x:row r="20">
      <x:c r="C20" s="50"/>
      <x:c r="D20" s="50"/>
      <x:c r="E20" s="50"/>
      <x:c r="F20" s="50"/>
      <x:c r="G20" s="50"/>
      <x:c r="H20" s="50"/>
    </x:row>
    <x:row r="21">
      <x:c r="C21" s="50"/>
      <x:c r="D21" s="50"/>
      <x:c r="E21" s="50"/>
      <x:c r="F21" s="50"/>
      <x:c r="G21" s="50"/>
      <x:c r="H21" s="50"/>
    </x:row>
    <x:row r="22">
      <x:c r="C22" s="103" t="str">
        <x:v>Scenario outputs</x:v>
      </x:c>
      <x:c r="D22" s="115"/>
      <x:c r="E22" s="115"/>
      <x:c r="F22" s="115"/>
      <x:c r="G22" s="115"/>
      <x:c r="H22" s="104"/>
    </x:row>
    <x:row r="23">
      <x:c r="C23" s="50"/>
      <x:c r="D23" s="50"/>
      <x:c r="E23" s="50"/>
      <x:c r="F23" s="50"/>
      <x:c r="G23" s="50"/>
      <x:c r="H23" s="50"/>
    </x:row>
    <x:row r="24">
      <x:c r="C24" s="77" t="str">
        <x:v>Case</x:v>
      </x:c>
      <x:c r="D24" s="77" t="str">
        <x:v>Exit EBITDA</x:v>
      </x:c>
      <x:c r="E24" s="77" t="str">
        <x:v>Exit multiple</x:v>
      </x:c>
      <x:c r="F24" s="77" t="str">
        <x:v>Exit net debt</x:v>
      </x:c>
      <x:c r="G24" s="77" t="str">
        <x:v>MOIC</x:v>
      </x:c>
      <x:c r="H24" s="77" t="str">
        <x:v>IRR</x:v>
      </x:c>
    </x:row>
    <x:row r="25">
      <x:c r="C25" s="50" t="str">
        <x:v>Bear</x:v>
      </x:c>
      <x:c r="D25" s="89" t="n">
        <x:v>1028.5</x:v>
      </x:c>
      <x:c r="E25" s="53" t="n">
        <x:v>7</x:v>
      </x:c>
      <x:c r="F25" s="89" t="n">
        <x:v>3550.2</x:v>
      </x:c>
      <x:c r="G25" s="53" t="n">
        <x:f>(D25*E25-F25)/$D$8</x:f>
        <x:v>1.4013530835297523</x:v>
      </x:c>
      <x:c r="H25" s="54" t="n">
        <x:f>G25^(1/$D$14)-1</x:f>
        <x:v>0.06981704901053543</x:v>
      </x:c>
    </x:row>
    <x:row r="26">
      <x:c r="C26" s="50" t="str">
        <x:v>Base</x:v>
      </x:c>
      <x:c r="D26" s="89" t="n">
        <x:f>D9</x:f>
        <x:v>1156.3448627698979</x:v>
      </x:c>
      <x:c r="E26" s="53" t="n">
        <x:f>D10</x:f>
        <x:v>8.3</x:v>
      </x:c>
      <x:c r="F26" s="89" t="n">
        <x:f>D12</x:f>
        <x:v>3093.455957637118</x:v>
      </x:c>
      <x:c r="G26" s="53" t="n">
        <x:f>(D26*E26-F26)/$D$8</x:f>
        <x:v>2.4976542622565248</x:v>
      </x:c>
      <x:c r="H26" s="54" t="n">
        <x:f>G26^(1/$D$14)-1</x:f>
        <x:v>0.2008989475028473</x:v>
      </x:c>
    </x:row>
    <x:row r="27">
      <x:c r="C27" s="50" t="str">
        <x:v>Bull</x:v>
      </x:c>
      <x:c r="D27" s="89" t="n">
        <x:v>1270.6</x:v>
      </x:c>
      <x:c r="E27" s="53" t="n">
        <x:v>8.5</x:v>
      </x:c>
      <x:c r="F27" s="89" t="n">
        <x:v>2717</x:v>
      </x:c>
      <x:c r="G27" s="53" t="n">
        <x:f>(D27*E27-F27)/$D$8</x:f>
        <x:v>3.103958871421735</x:v>
      </x:c>
      <x:c r="H27" s="54" t="n">
        <x:f>G27^(1/$D$14)-1</x:f>
        <x:v>0.2542473485523591</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9" hidden="0" customWidth="1"/>
    <x:col min="4" max="4" width="13" hidden="0" customWidth="1"/>
    <x:col min="5" max="5" width="13" hidden="0" customWidth="1"/>
    <x:col min="6" max="6" width="13" hidden="0" customWidth="1"/>
    <x:col min="7" max="7" width="16" hidden="0" customWidth="1"/>
    <x:col min="8" max="8" width="38" hidden="0" customWidth="1"/>
    <x:col min="9" max="9" width="13" hidden="0" customWidth="1"/>
  </x:cols>
  <x:sheetData>
    <x:row r="2">
      <x:c r="C2" s="2" t="str">
        <x:v>Return Sensitivities</x:v>
      </x:c>
      <x:c r="D2" s="121"/>
      <x:c r="E2" s="121"/>
      <x:c r="F2" s="121"/>
      <x:c r="G2" s="121"/>
      <x:c r="H2" s="121"/>
      <x:c r="I2" s="121"/>
      <x:c r="J2" s="121"/>
    </x:row>
    <x:row r="3">
      <x:c r="C3" s="3" t="str">
        <x:v>Formula-driven gross IRR sensitivity using base-case exit net debt and sponsor equity</x:v>
      </x:c>
      <x:c r="D3" s="3"/>
      <x:c r="E3" s="3"/>
      <x:c r="F3" s="3"/>
      <x:c r="G3" s="3"/>
      <x:c r="H3" s="3"/>
      <x:c r="I3" s="3"/>
      <x:c r="J3" s="3"/>
    </x:row>
    <x:row r="4">
      <x:c r="C4" s="122"/>
      <x:c r="D4" s="122"/>
      <x:c r="E4" s="122"/>
      <x:c r="F4" s="122"/>
      <x:c r="G4" s="122"/>
      <x:c r="H4" s="122"/>
      <x:c r="I4" s="122"/>
      <x:c r="J4" s="122"/>
    </x:row>
    <x:row r="5">
      <x:c r="C5" s="122"/>
      <x:c r="D5" s="122"/>
      <x:c r="E5" s="122"/>
      <x:c r="F5" s="122"/>
      <x:c r="G5" s="122"/>
      <x:c r="H5" s="122"/>
      <x:c r="I5" s="122"/>
      <x:c r="J5" s="122"/>
    </x:row>
    <x:row r="6">
      <x:c r="C6" s="77" t="str">
        <x:v>Exit margin / exit multiple</x:v>
      </x:c>
      <x:c r="D6" s="77" t="n">
        <x:v>7</x:v>
      </x:c>
      <x:c r="E6" s="77" t="n">
        <x:v>7.5</x:v>
      </x:c>
      <x:c r="F6" s="77" t="n">
        <x:v>8</x:v>
      </x:c>
      <x:c r="G6" s="77" t="n">
        <x:v>8.3</x:v>
      </x:c>
      <x:c r="H6" s="77" t="n">
        <x:v>8.5</x:v>
      </x:c>
      <x:c r="I6" s="77" t="n">
        <x:v>9</x:v>
      </x:c>
      <x:c r="J6" s="122"/>
    </x:row>
    <x:row r="7">
      <x:c r="C7" s="54" t="n">
        <x:v>0.38</x:v>
      </x:c>
      <x:c r="D7" s="54" t="n">
        <x:f>((('Operating Case'!$K$9*$C7*D$6)-'Debt Schedule'!$H$24)/'Transaction'!$G$12)^(1/'Assumptions'!$D$7)-1</x:f>
        <x:v>0.11288662931025284</x:v>
      </x:c>
      <x:c r="E7" s="54" t="n">
        <x:f>((('Operating Case'!$K$9*$C7*E$6)-'Debt Schedule'!$H$24)/'Transaction'!$G$12)^(1/'Assumptions'!$D$7)-1</x:f>
        <x:v>0.1386293888686314</x:v>
      </x:c>
      <x:c r="F7" s="54" t="n">
        <x:f>((('Operating Case'!$K$9*$C7*F$6)-'Debt Schedule'!$H$24)/'Transaction'!$G$12)^(1/'Assumptions'!$D$7)-1</x:f>
        <x:v>0.16223489790128842</x:v>
      </x:c>
      <x:c r="G7" s="54" t="n">
        <x:f>((('Operating Case'!$K$9*$C7*G$6)-'Debt Schedule'!$H$24)/'Transaction'!$G$12)^(1/'Assumptions'!$D$7)-1</x:f>
        <x:v>0.17552691610959514</x:v>
      </x:c>
      <x:c r="H7" s="54" t="n">
        <x:f>((('Operating Case'!$K$9*$C7*H$6)-'Debt Schedule'!$H$24)/'Transaction'!$G$12)^(1/'Assumptions'!$D$7)-1</x:f>
        <x:v>0.18406518216801282</x:v>
      </x:c>
      <x:c r="I7" s="54" t="n">
        <x:f>((('Operating Case'!$K$9*$C7*I$6)-'Debt Schedule'!$H$24)/'Transaction'!$G$12)^(1/'Assumptions'!$D$7)-1</x:f>
        <x:v>0.2043950164874333</x:v>
      </x:c>
      <x:c r="J7" s="122"/>
    </x:row>
    <x:row r="8">
      <x:c r="C8" s="54" t="n">
        <x:v>0.39</x:v>
      </x:c>
      <x:c r="D8" s="54" t="n">
        <x:f>((('Operating Case'!$K$9*$C8*D$6)-'Debt Schedule'!$H$24)/'Transaction'!$G$12)^(1/'Assumptions'!$D$7)-1</x:f>
        <x:v>0.12264712232786046</x:v>
      </x:c>
      <x:c r="E8" s="54" t="n">
        <x:f>((('Operating Case'!$K$9*$C8*E$6)-'Debt Schedule'!$H$24)/'Transaction'!$G$12)^(1/'Assumptions'!$D$7)-1</x:f>
        <x:v>0.14818022237423323</x:v>
      </x:c>
      <x:c r="F8" s="54" t="n">
        <x:f>((('Operating Case'!$K$9*$C8*F$6)-'Debt Schedule'!$H$24)/'Transaction'!$G$12)^(1/'Assumptions'!$D$7)-1</x:f>
        <x:v>0.1716254613598125</x:v>
      </x:c>
      <x:c r="G8" s="54" t="n">
        <x:f>((('Operating Case'!$K$9*$C8*G$6)-'Debt Schedule'!$H$24)/'Transaction'!$G$12)^(1/'Assumptions'!$D$7)-1</x:f>
        <x:v>0.18483932825830385</x:v>
      </x:c>
      <x:c r="H8" s="54" t="n">
        <x:f>((('Operating Case'!$K$9*$C8*H$6)-'Debt Schedule'!$H$24)/'Transaction'!$G$12)^(1/'Assumptions'!$D$7)-1</x:f>
        <x:v>0.1933316496998425</x:v>
      </x:c>
      <x:c r="I8" s="54" t="n">
        <x:f>((('Operating Case'!$K$9*$C8*I$6)-'Debt Schedule'!$H$24)/'Transaction'!$G$12)^(1/'Assumptions'!$D$7)-1</x:f>
        <x:v>0.21356458818442525</x:v>
      </x:c>
      <x:c r="J8" s="122"/>
    </x:row>
    <x:row r="9">
      <x:c r="C9" s="54" t="n">
        <x:v>0.4</x:v>
      </x:c>
      <x:c r="D9" s="54" t="n">
        <x:f>((('Operating Case'!$K$9*$C9*D$6)-'Debt Schedule'!$H$24)/'Transaction'!$G$12)^(1/'Assumptions'!$D$7)-1</x:f>
        <x:v>0.13207952742174545</x:v>
      </x:c>
      <x:c r="E9" s="54" t="n">
        <x:f>((('Operating Case'!$K$9*$C9*E$6)-'Debt Schedule'!$H$24)/'Transaction'!$G$12)^(1/'Assumptions'!$D$7)-1</x:f>
        <x:v>0.15742345484304732</x:v>
      </x:c>
      <x:c r="F9" s="54" t="n">
        <x:f>((('Operating Case'!$K$9*$C9*F$6)-'Debt Schedule'!$H$24)/'Transaction'!$G$12)^(1/'Assumptions'!$D$7)-1</x:f>
        <x:v>0.18072427200138685</x:v>
      </x:c>
      <x:c r="G9" s="54" t="n">
        <x:f>((('Operating Case'!$K$9*$C9*G$6)-'Debt Schedule'!$H$24)/'Transaction'!$G$12)^(1/'Assumptions'!$D$7)-1</x:f>
        <x:v>0.19386785400354212</x:v>
      </x:c>
      <x:c r="H9" s="54" t="n">
        <x:f>((('Operating Case'!$K$9*$C9*H$6)-'Debt Schedule'!$H$24)/'Transaction'!$G$12)^(1/'Assumptions'!$D$7)-1</x:f>
        <x:v>0.20231892421529207</x:v>
      </x:c>
      <x:c r="I9" s="54" t="n">
        <x:f>((('Operating Case'!$K$9*$C9*I$6)-'Debt Schedule'!$H$24)/'Transaction'!$G$12)^(1/'Assumptions'!$D$7)-1</x:f>
        <x:v>0.22246511662364976</x:v>
      </x:c>
      <x:c r="J9" s="122"/>
    </x:row>
    <x:row r="10">
      <x:c r="C10" s="54" t="n">
        <x:v>0.408</x:v>
      </x:c>
      <x:c r="D10" s="54" t="n">
        <x:f>((('Operating Case'!$K$9*$C10*D$6)-'Debt Schedule'!$H$24)/'Transaction'!$G$12)^(1/'Assumptions'!$D$7)-1</x:f>
        <x:v>0.13940532325167942</x:v>
      </x:c>
      <x:c r="E10" s="54" t="n">
        <x:f>((('Operating Case'!$K$9*$C10*E$6)-'Debt Schedule'!$H$24)/'Transaction'!$G$12)^(1/'Assumptions'!$D$7)-1</x:f>
        <x:v>0.16461104741454524</x:v>
      </x:c>
      <x:c r="F10" s="54" t="n">
        <x:f>((('Operating Case'!$K$9*$C10*F$6)-'Debt Schedule'!$H$24)/'Transaction'!$G$12)^(1/'Assumptions'!$D$7)-1</x:f>
        <x:v>0.1878065221602867</x:v>
      </x:c>
      <x:c r="G10" s="54" t="n">
        <x:f>((('Operating Case'!$K$9*$C10*G$6)-'Debt Schedule'!$H$24)/'Transaction'!$G$12)^(1/'Assumptions'!$D$7)-1</x:f>
        <x:v>0.2008989475028473</x:v>
      </x:c>
      <x:c r="H10" s="54" t="n">
        <x:f>((('Operating Case'!$K$9*$C10*H$6)-'Debt Schedule'!$H$24)/'Transaction'!$G$12)^(1/'Assumptions'!$D$7)-1</x:f>
        <x:v>0.20932004575627272</x:v>
      </x:c>
      <x:c r="I10" s="54" t="n">
        <x:f>((('Operating Case'!$K$9*$C10*I$6)-'Debt Schedule'!$H$24)/'Transaction'!$G$12)^(1/'Assumptions'!$D$7)-1</x:f>
        <x:v>0.2294033999383478</x:v>
      </x:c>
      <x:c r="J10" s="122"/>
    </x:row>
    <x:row r="11">
      <x:c r="C11" s="54" t="n">
        <x:v>0.42</x:v>
      </x:c>
      <x:c r="D11" s="54" t="n">
        <x:f>((('Operating Case'!$K$9*$C11*D$6)-'Debt Schedule'!$H$24)/'Transaction'!$G$12)^(1/'Assumptions'!$D$7)-1</x:f>
        <x:v>0.1500527561940428</x:v>
      </x:c>
      <x:c r="E11" s="54" t="n">
        <x:f>((('Operating Case'!$K$9*$C11*E$6)-'Debt Schedule'!$H$24)/'Transaction'!$G$12)^(1/'Assumptions'!$D$7)-1</x:f>
        <x:v>0.175070603929812</x:v>
      </x:c>
      <x:c r="F11" s="54" t="n">
        <x:f>((('Operating Case'!$K$9*$C11*F$6)-'Debt Schedule'!$H$24)/'Transaction'!$G$12)^(1/'Assumptions'!$D$7)-1</x:f>
        <x:v>0.19812319374702558</x:v>
      </x:c>
      <x:c r="G11" s="54" t="n">
        <x:f>((('Operating Case'!$K$9*$C11*G$6)-'Debt Schedule'!$H$24)/'Transaction'!$G$12)^(1/'Assumptions'!$D$7)-1</x:f>
        <x:v>0.21114642483475166</x:v>
      </x:c>
      <x:c r="H11" s="54" t="n">
        <x:f>((('Operating Case'!$K$9*$C11*H$6)-'Debt Schedule'!$H$24)/'Transaction'!$G$12)^(1/'Assumptions'!$D$7)-1</x:f>
        <x:v>0.21952707386905557</x:v>
      </x:c>
      <x:c r="I11" s="54" t="n">
        <x:f>((('Operating Case'!$K$9*$C11*I$6)-'Debt Schedule'!$H$24)/'Transaction'!$G$12)^(1/'Assumptions'!$D$7)-1</x:f>
        <x:v>0.23952594469394906</x:v>
      </x:c>
      <x:c r="J11" s="122"/>
    </x:row>
    <x:row r="12">
      <x:c r="C12" s="54" t="n">
        <x:v>0.43</x:v>
      </x:c>
      <x:c r="D12" s="54" t="n">
        <x:f>((('Operating Case'!$K$9*$C12*D$6)-'Debt Schedule'!$H$24)/'Transaction'!$G$12)^(1/'Assumptions'!$D$7)-1</x:f>
        <x:v>0.15863382380017788</x:v>
      </x:c>
      <x:c r="E12" s="54" t="n">
        <x:f>((('Operating Case'!$K$9*$C12*E$6)-'Debt Schedule'!$H$24)/'Transaction'!$G$12)^(1/'Assumptions'!$D$7)-1</x:f>
        <x:v>0.1835109785966733</x:v>
      </x:c>
      <x:c r="F12" s="54" t="n">
        <x:f>((('Operating Case'!$K$9*$C12*F$6)-'Debt Schedule'!$H$24)/'Transaction'!$G$12)^(1/'Assumptions'!$D$7)-1</x:f>
        <x:v>0.20645689191159167</x:v>
      </x:c>
      <x:c r="G12" s="54" t="n">
        <x:f>((('Operating Case'!$K$9*$C12*G$6)-'Debt Schedule'!$H$24)/'Transaction'!$G$12)^(1/'Assumptions'!$D$7)-1</x:f>
        <x:v>0.2194286502046805</x:v>
      </x:c>
      <x:c r="H12" s="54" t="n">
        <x:f>((('Operating Case'!$K$9*$C12*H$6)-'Debt Schedule'!$H$24)/'Transaction'!$G$12)^(1/'Assumptions'!$D$7)-1</x:f>
        <x:v>0.22777929552635912</x:v>
      </x:c>
      <x:c r="I12" s="54" t="n">
        <x:f>((('Operating Case'!$K$9*$C12*I$6)-'Debt Schedule'!$H$24)/'Transaction'!$G$12)^(1/'Assumptions'!$D$7)-1</x:f>
        <x:v>0.2477158012606906</x:v>
      </x:c>
      <x:c r="J12" s="122"/>
    </x:row>
    <x:row r="13">
      <x:c r="C13" s="50"/>
      <x:c r="D13" s="50"/>
      <x:c r="E13" s="50"/>
      <x:c r="F13" s="50"/>
      <x:c r="G13" s="50"/>
      <x:c r="H13" s="50"/>
      <x:c r="I13" s="50"/>
      <x:c r="J13" s="122"/>
    </x:row>
    <x:row r="14">
      <x:c r="C14" s="50"/>
      <x:c r="D14" s="50"/>
      <x:c r="E14" s="50"/>
      <x:c r="F14" s="50"/>
      <x:c r="G14" s="50"/>
      <x:c r="H14" s="50"/>
      <x:c r="I14" s="50"/>
      <x:c r="J14" s="122"/>
    </x:row>
    <x:row r="15">
      <x:c r="C15" s="50"/>
      <x:c r="D15" s="50"/>
      <x:c r="E15" s="50"/>
      <x:c r="F15" s="50"/>
      <x:c r="G15" s="50"/>
      <x:c r="H15" s="50"/>
      <x:c r="I15" s="50"/>
      <x:c r="J15" s="122"/>
    </x:row>
    <x:row r="16">
      <x:c r="C16" s="77" t="str">
        <x:v>Driver</x:v>
      </x:c>
      <x:c r="D16" s="77" t="str">
        <x:v>Downside</x:v>
      </x:c>
      <x:c r="E16" s="77" t="str">
        <x:v>Base</x:v>
      </x:c>
      <x:c r="F16" s="77" t="str">
        <x:v>Upside</x:v>
      </x:c>
      <x:c r="G16" s="77" t="str">
        <x:v>Base IRR change</x:v>
      </x:c>
      <x:c r="H16" s="77" t="str">
        <x:v>Comment</x:v>
      </x:c>
      <x:c r="I16" s="50"/>
      <x:c r="J16" s="122"/>
    </x:row>
    <x:row r="17">
      <x:c r="C17" s="50" t="str">
        <x:v>Exit multiple</x:v>
      </x:c>
      <x:c r="D17" s="85" t="n">
        <x:v>7</x:v>
      </x:c>
      <x:c r="E17" s="85" t="n">
        <x:v>8.3</x:v>
      </x:c>
      <x:c r="F17" s="85" t="n">
        <x:v>9</x:v>
      </x:c>
      <x:c r="G17" s="50" t="str">
        <x:v>See grid</x:v>
      </x:c>
      <x:c r="H17" s="55" t="str">
        <x:v>Largest valuation sensitivity</x:v>
      </x:c>
      <x:c r="I17" s="50"/>
      <x:c r="J17" s="122"/>
    </x:row>
    <x:row r="18">
      <x:c r="C18" s="50" t="str">
        <x:v>Exit EBITDA margin</x:v>
      </x:c>
      <x:c r="D18" s="83" t="n">
        <x:v>0.39</x:v>
      </x:c>
      <x:c r="E18" s="83" t="n">
        <x:v>0.408</x:v>
      </x:c>
      <x:c r="F18" s="83" t="n">
        <x:v>0.43</x:v>
      </x:c>
      <x:c r="G18" s="50" t="str">
        <x:v>See grid</x:v>
      </x:c>
      <x:c r="H18" s="55" t="str">
        <x:v>Tests execution and cost control</x:v>
      </x:c>
      <x:c r="I18" s="50"/>
      <x:c r="J18" s="122"/>
    </x:row>
    <x:row r="19">
      <x:c r="C19" s="50" t="str">
        <x:v>Revenue CAGR</x:v>
      </x:c>
      <x:c r="D19" s="83" t="n">
        <x:v>0.02</x:v>
      </x:c>
      <x:c r="E19" s="83" t="n">
        <x:v>0.035</x:v>
      </x:c>
      <x:c r="F19" s="83" t="n">
        <x:v>0.05</x:v>
      </x:c>
      <x:c r="G19" s="50" t="str">
        <x:v>Directional</x:v>
      </x:c>
      <x:c r="H19" s="55" t="str">
        <x:v>Tests organic growth</x:v>
      </x:c>
      <x:c r="I19" s="50"/>
      <x:c r="J19" s="122"/>
    </x:row>
    <x:row r="20">
      <x:c r="C20" s="50" t="str">
        <x:v>Entry leverage</x:v>
      </x:c>
      <x:c r="D20" s="85" t="n">
        <x:v>5</x:v>
      </x:c>
      <x:c r="E20" s="85" t="n">
        <x:v>5.5</x:v>
      </x:c>
      <x:c r="F20" s="85" t="n">
        <x:v>6</x:v>
      </x:c>
      <x:c r="G20" s="50" t="str">
        <x:v>Directional</x:v>
      </x:c>
      <x:c r="H20" s="55" t="str">
        <x:v>Higher leverage reduces sponsor equity but raises risk</x:v>
      </x:c>
      <x:c r="I20" s="50"/>
      <x:c r="J20" s="122"/>
    </x:row>
    <x:row r="21">
      <x:c r="C21" s="50" t="str">
        <x:v>Interest rate</x:v>
      </x:c>
      <x:c r="D21" s="83" t="n">
        <x:v>0.095</x:v>
      </x:c>
      <x:c r="E21" s="83" t="n">
        <x:v>0.075</x:v>
      </x:c>
      <x:c r="F21" s="83" t="n">
        <x:v>0.06</x:v>
      </x:c>
      <x:c r="G21" s="50" t="str">
        <x:v>Directional</x:v>
      </x:c>
      <x:c r="H21" s="55" t="str">
        <x:v>Impacts cash sweep and exit debt</x:v>
      </x:c>
      <x:c r="I21" s="50"/>
      <x:c r="J21" s="122"/>
    </x:row>
    <x:row r="22">
      <x:c r="C22" s="50" t="str">
        <x:v>Cash conversion</x:v>
      </x:c>
      <x:c r="D22" s="83" t="n">
        <x:v>0.2</x:v>
      </x:c>
      <x:c r="E22" s="83" t="n">
        <x:v>0.3</x:v>
      </x:c>
      <x:c r="F22" s="83" t="n">
        <x:v>0.4</x:v>
      </x:c>
      <x:c r="G22" s="50" t="str">
        <x:v>Directional</x:v>
      </x:c>
      <x:c r="H22" s="55" t="str">
        <x:v>Tests debt paydown capacity</x:v>
      </x:c>
      <x:c r="I22" s="50"/>
      <x:c r="J22" s="122"/>
    </x:row>
  </x:sheetData>
  <x:conditionalFormatting sqref="D7:I12">
    <x:cfRule type="colorScale" priority="1">
      <x:colorScale>
        <x:cfvo type="min"/>
        <x:cfvo type="percentile" val="50"/>
        <x:cfvo type="max"/>
        <x:color rgb="FFF4CCCC"/>
        <x:color rgb="FFFFF2CC"/>
        <x:color rgb="FFD9EAD3"/>
      </x:colorScale>
    </x:cfRul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 hidden="0" customWidth="1"/>
    <x:col min="2" max="2" width="2" hidden="0" customWidth="1"/>
    <x:col min="3" max="3" width="15" hidden="0" customWidth="1"/>
    <x:col min="4" max="4" width="28" hidden="0" customWidth="1"/>
    <x:col min="5" max="5" width="38" hidden="0" customWidth="1"/>
    <x:col min="6" max="6" width="28" hidden="0" customWidth="1"/>
    <x:col min="7" max="7" width="14" hidden="0" customWidth="1"/>
    <x:col min="8" max="8" width="32" hidden="0" customWidth="1"/>
    <x:col min="9" max="9" width="24" hidden="0" customWidth="1"/>
    <x:col min="10" max="10" width="32" hidden="0" customWidth="1"/>
  </x:cols>
  <x:sheetData>
    <x:row r="2">
      <x:c r="C2" s="2" t="str">
        <x:v>Value Creation Plan</x:v>
      </x:c>
      <x:c r="D2" s="121"/>
      <x:c r="E2" s="121"/>
      <x:c r="F2" s="121"/>
      <x:c r="G2" s="121"/>
      <x:c r="H2" s="121"/>
      <x:c r="I2" s="121"/>
      <x:c r="J2" s="121"/>
      <x:c r="K2" s="121"/>
    </x:row>
    <x:row r="3">
      <x:c r="C3" s="3" t="str">
        <x:v>Illustrative initiatives; only base-case effects explicitly reflected in the operating assumptions should be counted</x:v>
      </x:c>
      <x:c r="D3" s="3"/>
      <x:c r="E3" s="3"/>
      <x:c r="F3" s="3"/>
      <x:c r="G3" s="3"/>
      <x:c r="H3" s="3"/>
      <x:c r="I3" s="3"/>
      <x:c r="J3" s="3"/>
      <x:c r="K3" s="3"/>
    </x:row>
    <x:row r="4">
      <x:c r="C4" s="122"/>
      <x:c r="D4" s="122"/>
      <x:c r="E4" s="122"/>
      <x:c r="F4" s="122"/>
      <x:c r="G4" s="122"/>
      <x:c r="H4" s="122"/>
      <x:c r="I4" s="122"/>
      <x:c r="J4" s="122"/>
      <x:c r="K4" s="122"/>
    </x:row>
    <x:row r="5">
      <x:c r="C5" s="122"/>
      <x:c r="D5" s="122"/>
      <x:c r="E5" s="122"/>
      <x:c r="F5" s="122"/>
      <x:c r="G5" s="122"/>
      <x:c r="H5" s="122"/>
      <x:c r="I5" s="122"/>
      <x:c r="J5" s="122"/>
      <x:c r="K5" s="122"/>
    </x:row>
    <x:row r="6">
      <x:c r="C6" s="77" t="str">
        <x:v>Pillar</x:v>
      </x:c>
      <x:c r="D6" s="77" t="str">
        <x:v>Current problem</x:v>
      </x:c>
      <x:c r="E6" s="77" t="str">
        <x:v>Proposed action</x:v>
      </x:c>
      <x:c r="F6" s="77" t="str">
        <x:v>Financial impact</x:v>
      </x:c>
      <x:c r="G6" s="77" t="str">
        <x:v>Timing</x:v>
      </x:c>
      <x:c r="H6" s="77" t="str">
        <x:v>Execution requirement</x:v>
      </x:c>
      <x:c r="I6" s="77" t="str">
        <x:v>KPI</x:v>
      </x:c>
      <x:c r="J6" s="77" t="str">
        <x:v>Downside risk</x:v>
      </x:c>
      <x:c r="K6" s="122"/>
    </x:row>
    <x:row r="7">
      <x:c r="C7" s="55" t="str">
        <x:v>Operations</x:v>
      </x:c>
      <x:c r="D7" s="55" t="str">
        <x:v>International margin trails North America</x:v>
      </x:c>
      <x:c r="E7" s="55" t="str">
        <x:v>Simplify delivery and support while preserving local data coverage</x:v>
      </x:c>
      <x:c r="F7" s="55" t="str">
        <x:v>Margin expansion; partly in base case</x:v>
      </x:c>
      <x:c r="G7" s="55" t="str">
        <x:v>Years 1-3</x:v>
      </x:c>
      <x:c r="H7" s="55" t="str">
        <x:v>Country-level cost and service mapping</x:v>
      </x:c>
      <x:c r="I7" s="55" t="str">
        <x:v>International EBITDA margin</x:v>
      </x:c>
      <x:c r="J7" s="55" t="str">
        <x:v>Service deterioration or lost local expertise</x:v>
      </x:c>
      <x:c r="K7" s="122"/>
    </x:row>
    <x:row r="8">
      <x:c r="C8" s="55" t="str">
        <x:v>Operations</x:v>
      </x:c>
      <x:c r="D8" s="55" t="str">
        <x:v>High software and transformation spend</x:v>
      </x:c>
      <x:c r="E8" s="55" t="str">
        <x:v>Prioritize maintenance, platform consolidation and measured cloud savings</x:v>
      </x:c>
      <x:c r="F8" s="55" t="str">
        <x:v>Cash conversion; partly in base case</x:v>
      </x:c>
      <x:c r="G8" s="55" t="str">
        <x:v>Years 1-4</x:v>
      </x:c>
      <x:c r="H8" s="55" t="str">
        <x:v>Separate maintenance from growth capex</x:v>
      </x:c>
      <x:c r="I8" s="55" t="str">
        <x:v>Cash investment / revenue</x:v>
      </x:c>
      <x:c r="J8" s="55" t="str">
        <x:v>Underinvestment harms product quality</x:v>
      </x:c>
      <x:c r="K8" s="122"/>
    </x:row>
    <x:row r="9">
      <x:c r="C9" s="55" t="str">
        <x:v>Operations</x:v>
      </x:c>
      <x:c r="D9" s="55" t="str">
        <x:v>Mature North America Finance growth</x:v>
      </x:c>
      <x:c r="E9" s="55" t="str">
        <x:v>Improve pricing, packaging, renewal and cross-sell execution</x:v>
      </x:c>
      <x:c r="F9" s="55" t="str">
        <x:v>Revenue growth; partly in base case</x:v>
      </x:c>
      <x:c r="G9" s="55" t="str">
        <x:v>Years 1-5</x:v>
      </x:c>
      <x:c r="H9" s="55" t="str">
        <x:v>Cohort data and sales incentives</x:v>
      </x:c>
      <x:c r="I9" s="55" t="str">
        <x:v>Gross retention, price realization</x:v>
      </x:c>
      <x:c r="J9" s="55" t="str">
        <x:v>Price increases drive churn</x:v>
      </x:c>
      <x:c r="K9" s="122"/>
    </x:row>
    <x:row r="10">
      <x:c r="C10" s="55" t="str">
        <x:v>People</x:v>
      </x:c>
      <x:c r="D10" s="55" t="str">
        <x:v>AI and data talent competition</x:v>
      </x:c>
      <x:c r="E10" s="55" t="str">
        <x:v>Retain technical leaders and align incentives to adoption and cash outcomes</x:v>
      </x:c>
      <x:c r="F10" s="55" t="str">
        <x:v>Productivity and product growth; not separately quantified</x:v>
      </x:c>
      <x:c r="G10" s="55" t="str">
        <x:v>Years 1-3</x:v>
      </x:c>
      <x:c r="H10" s="55" t="str">
        <x:v>Targeted retention and accountability</x:v>
      </x:c>
      <x:c r="I10" s="55" t="str">
        <x:v>Product releases and adoption</x:v>
      </x:c>
      <x:c r="J10" s="55" t="str">
        <x:v>High cost without monetization</x:v>
      </x:c>
      <x:c r="K10" s="122"/>
    </x:row>
    <x:row r="11">
      <x:c r="C11" s="55" t="str">
        <x:v>Strategy</x:v>
      </x:c>
      <x:c r="D11" s="55" t="str">
        <x:v>Data assets not fully monetized in modern workflows</x:v>
      </x:c>
      <x:c r="E11" s="55" t="str">
        <x:v>Embed governed AI interfaces and APIs in existing products</x:v>
      </x:c>
      <x:c r="F11" s="55" t="str">
        <x:v>Upside only beyond modest base productivity</x:v>
      </x:c>
      <x:c r="G11" s="55" t="str">
        <x:v>Years 2-5</x:v>
      </x:c>
      <x:c r="H11" s="55" t="str">
        <x:v>Data rights, governance and customer pilots</x:v>
      </x:c>
      <x:c r="I11" s="55" t="str">
        <x:v>AI revenue and active use</x:v>
      </x:c>
      <x:c r="J11" s="55" t="str">
        <x:v>Commoditization, errors or regulation</x:v>
      </x:c>
      <x:c r="K11" s="122"/>
    </x:row>
    <x:row r="12">
      <x:c r="C12" s="55" t="str">
        <x:v>Strategy</x:v>
      </x:c>
      <x:c r="D12" s="55" t="str">
        <x:v>Fragmented product portfolio</x:v>
      </x:c>
      <x:c r="E12" s="55" t="str">
        <x:v>Exit low-return products and focus investment on risk, compliance, MDM and APIs</x:v>
      </x:c>
      <x:c r="F12" s="55" t="str">
        <x:v>Mix and margin; partly in base case</x:v>
      </x:c>
      <x:c r="G12" s="55" t="str">
        <x:v>Years 1-3</x:v>
      </x:c>
      <x:c r="H12" s="55" t="str">
        <x:v>Product-level profitability and migration plan</x:v>
      </x:c>
      <x:c r="I12" s="55" t="str">
        <x:v>Product gross margin and churn</x:v>
      </x:c>
      <x:c r="J12" s="55" t="str">
        <x:v>Revenue loss exceeds savings</x:v>
      </x:c>
      <x:c r="K12" s="122"/>
    </x:row>
    <x:row r="13">
      <x:c r="C13" s="55" t="str">
        <x:v>Strategy</x:v>
      </x:c>
      <x:c r="D13" s="55" t="str">
        <x:v>Cross-sell opportunity across two solution groups</x:v>
      </x:c>
      <x:c r="E13" s="55" t="str">
        <x:v>Use shared identity graph and account planning to increase products per customer</x:v>
      </x:c>
      <x:c r="F13" s="55" t="str">
        <x:v>Revenue upside; modestly in base case</x:v>
      </x:c>
      <x:c r="G13" s="55" t="str">
        <x:v>Years 1-5</x:v>
      </x:c>
      <x:c r="H13" s="55" t="str">
        <x:v>Integrated sales coverage and clean CRM</x:v>
      </x:c>
      <x:c r="I13" s="55" t="str">
        <x:v>Products per customer</x:v>
      </x:c>
      <x:c r="J13" s="55" t="str">
        <x:v>Sales disruption or weak demand</x:v>
      </x:c>
      <x:c r="K13" s="122"/>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 hidden="0" customWidth="1"/>
    <x:col min="2" max="2" width="2" hidden="0" customWidth="1"/>
    <x:col min="3" max="3" width="28" hidden="0" customWidth="1"/>
    <x:col min="4" max="4" width="13" hidden="0" customWidth="1"/>
    <x:col min="5" max="5" width="16" hidden="0" customWidth="1"/>
    <x:col min="6" max="6" width="30" hidden="0" customWidth="1"/>
    <x:col min="7" max="7" width="30" hidden="0" customWidth="1"/>
    <x:col min="8" max="8" width="34" hidden="0" customWidth="1"/>
    <x:col min="9" max="9" width="24" hidden="0" customWidth="1"/>
    <x:col min="10" max="10" width="13" hidden="0" customWidth="1"/>
  </x:cols>
  <x:sheetData>
    <x:row r="2">
      <x:c r="C2" s="2" t="str">
        <x:v>Risk Register</x:v>
      </x:c>
      <x:c r="D2" s="121"/>
      <x:c r="E2" s="121"/>
      <x:c r="F2" s="121"/>
      <x:c r="G2" s="121"/>
      <x:c r="H2" s="121"/>
      <x:c r="I2" s="121"/>
      <x:c r="J2" s="121"/>
      <x:c r="K2" s="121"/>
    </x:row>
    <x:row r="3">
      <x:c r="C3" s="3" t="str">
        <x:v>Probability and financial impact are qualitative author assessments; link each risk to a model variable</x:v>
      </x:c>
      <x:c r="D3" s="3"/>
      <x:c r="E3" s="3"/>
      <x:c r="F3" s="3"/>
      <x:c r="G3" s="3"/>
      <x:c r="H3" s="3"/>
      <x:c r="I3" s="3"/>
      <x:c r="J3" s="3"/>
      <x:c r="K3" s="3"/>
    </x:row>
    <x:row r="4">
      <x:c r="C4" s="122"/>
      <x:c r="D4" s="122"/>
      <x:c r="E4" s="122"/>
      <x:c r="F4" s="122"/>
      <x:c r="G4" s="122"/>
      <x:c r="H4" s="122"/>
      <x:c r="I4" s="122"/>
      <x:c r="J4" s="122"/>
      <x:c r="K4" s="122"/>
    </x:row>
    <x:row r="5">
      <x:c r="C5" s="122"/>
      <x:c r="D5" s="122"/>
      <x:c r="E5" s="122"/>
      <x:c r="F5" s="122"/>
      <x:c r="G5" s="122"/>
      <x:c r="H5" s="122"/>
      <x:c r="I5" s="122"/>
      <x:c r="J5" s="122"/>
      <x:c r="K5" s="122"/>
    </x:row>
    <x:row r="6">
      <x:c r="C6" s="77" t="str">
        <x:v>Risk</x:v>
      </x:c>
      <x:c r="D6" s="77" t="str">
        <x:v>Probability</x:v>
      </x:c>
      <x:c r="E6" s="77" t="str">
        <x:v>Financial impact</x:v>
      </x:c>
      <x:c r="F6" s="77" t="str">
        <x:v>Early-warning indicator</x:v>
      </x:c>
      <x:c r="G6" s="77" t="str">
        <x:v>Mitigant</x:v>
      </x:c>
      <x:c r="H6" s="77" t="str">
        <x:v>Required diligence</x:v>
      </x:c>
      <x:c r="I6" s="77" t="str">
        <x:v>Model variable affected</x:v>
      </x:c>
      <x:c r="J6" s="77" t="str">
        <x:v>Priority</x:v>
      </x:c>
      <x:c r="K6" s="122"/>
    </x:row>
    <x:row r="7">
      <x:c r="C7" s="55" t="str">
        <x:v>Organic growth weakness</x:v>
      </x:c>
      <x:c r="D7" s="55" t="str">
        <x:v>High</x:v>
      </x:c>
      <x:c r="E7" s="55" t="str">
        <x:v>High</x:v>
      </x:c>
      <x:c r="F7" s="55" t="str">
        <x:v>Bookings, usage and renewal growth below plan</x:v>
      </x:c>
      <x:c r="G7" s="55" t="str">
        <x:v>Conservative base case and product focus</x:v>
      </x:c>
      <x:c r="H7" s="55" t="str">
        <x:v>Price-volume-new logo bridge by product</x:v>
      </x:c>
      <x:c r="I7" s="55" t="str">
        <x:v>Revenue growth</x:v>
      </x:c>
      <x:c r="J7" s="55" t="str">
        <x:v>Critical</x:v>
      </x:c>
      <x:c r="K7" s="122"/>
    </x:row>
    <x:row r="8">
      <x:c r="C8" s="55" t="str">
        <x:v>Customer retention</x:v>
      </x:c>
      <x:c r="D8" s="55" t="str">
        <x:v>Medium</x:v>
      </x:c>
      <x:c r="E8" s="55" t="str">
        <x:v>High</x:v>
      </x:c>
      <x:c r="F8" s="55" t="str">
        <x:v>Renewal cohort deterioration or down-sell</x:v>
      </x:c>
      <x:c r="G8" s="55" t="str">
        <x:v>Account plans and product integration</x:v>
      </x:c>
      <x:c r="H8" s="55" t="str">
        <x:v>Gross and net retention by product</x:v>
      </x:c>
      <x:c r="I8" s="55" t="str">
        <x:v>Revenue growth</x:v>
      </x:c>
      <x:c r="J8" s="55" t="str">
        <x:v>Critical</x:v>
      </x:c>
      <x:c r="K8" s="122"/>
    </x:row>
    <x:row r="9">
      <x:c r="C9" s="55" t="str">
        <x:v>Pricing pressure</x:v>
      </x:c>
      <x:c r="D9" s="55" t="str">
        <x:v>Medium</x:v>
      </x:c>
      <x:c r="E9" s="55" t="str">
        <x:v>Medium</x:v>
      </x:c>
      <x:c r="F9" s="55" t="str">
        <x:v>Lower realized price or longer concessions</x:v>
      </x:c>
      <x:c r="G9" s="55" t="str">
        <x:v>Segmented pricing and packaging</x:v>
      </x:c>
      <x:c r="H9" s="55" t="str">
        <x:v>Win/loss and renewal discount data</x:v>
      </x:c>
      <x:c r="I9" s="55" t="str">
        <x:v>Revenue growth</x:v>
      </x:c>
      <x:c r="J9" s="55" t="str">
        <x:v>High</x:v>
      </x:c>
      <x:c r="K9" s="122"/>
    </x:row>
    <x:row r="10">
      <x:c r="C10" s="55" t="str">
        <x:v>Data quality or access</x:v>
      </x:c>
      <x:c r="D10" s="55" t="str">
        <x:v>Medium</x:v>
      </x:c>
      <x:c r="E10" s="55" t="str">
        <x:v>High</x:v>
      </x:c>
      <x:c r="F10" s="55" t="str">
        <x:v>Coverage gaps, disputes or source loss</x:v>
      </x:c>
      <x:c r="G10" s="55" t="str">
        <x:v>Governance, source diversity and monitoring</x:v>
      </x:c>
      <x:c r="H10" s="55" t="str">
        <x:v>Data lineage and source contracts</x:v>
      </x:c>
      <x:c r="I10" s="55" t="str">
        <x:v>Revenue and capex</x:v>
      </x:c>
      <x:c r="J10" s="55" t="str">
        <x:v>Critical</x:v>
      </x:c>
      <x:c r="K10" s="122"/>
    </x:row>
    <x:row r="11">
      <x:c r="C11" s="55" t="str">
        <x:v>AI disruption</x:v>
      </x:c>
      <x:c r="D11" s="55" t="str">
        <x:v>Medium</x:v>
      </x:c>
      <x:c r="E11" s="55" t="str">
        <x:v>High</x:v>
      </x:c>
      <x:c r="F11" s="55" t="str">
        <x:v>Customers substitute alternative tools</x:v>
      </x:c>
      <x:c r="G11" s="55" t="str">
        <x:v>Governed AI products using proprietary data</x:v>
      </x:c>
      <x:c r="H11" s="55" t="str">
        <x:v>Product-by-product substitution analysis</x:v>
      </x:c>
      <x:c r="I11" s="55" t="str">
        <x:v>Revenue and margin</x:v>
      </x:c>
      <x:c r="J11" s="55" t="str">
        <x:v>High</x:v>
      </x:c>
      <x:c r="K11" s="122"/>
    </x:row>
    <x:row r="12">
      <x:c r="C12" s="55" t="str">
        <x:v>Recurring adjustments</x:v>
      </x:c>
      <x:c r="D12" s="55" t="str">
        <x:v>High</x:v>
      </x:c>
      <x:c r="E12" s="55" t="str">
        <x:v>High</x:v>
      </x:c>
      <x:c r="F12" s="55" t="str">
        <x:v>Repeated restructuring and transition costs</x:v>
      </x:c>
      <x:c r="G12" s="55" t="str">
        <x:v>Sponsor-defined EBITDA and cash reserve</x:v>
      </x:c>
      <x:c r="H12" s="55" t="str">
        <x:v>Five-year add-back ledger</x:v>
      </x:c>
      <x:c r="I12" s="55" t="str">
        <x:v>Entry EBITDA and cash costs</x:v>
      </x:c>
      <x:c r="J12" s="55" t="str">
        <x:v>Critical</x:v>
      </x:c>
      <x:c r="K12" s="122"/>
    </x:row>
    <x:row r="13">
      <x:c r="C13" s="55" t="str">
        <x:v>Capitalized development costs</x:v>
      </x:c>
      <x:c r="D13" s="55" t="str">
        <x:v>High</x:v>
      </x:c>
      <x:c r="E13" s="55" t="str">
        <x:v>High</x:v>
      </x:c>
      <x:c r="F13" s="55" t="str">
        <x:v>Software spend stays near or above revenue growth</x:v>
      </x:c>
      <x:c r="G13" s="55" t="str">
        <x:v>Maintenance/growth split and hurdle rates</x:v>
      </x:c>
      <x:c r="H13" s="55" t="str">
        <x:v>Product-level capex ROI</x:v>
      </x:c>
      <x:c r="I13" s="55" t="str">
        <x:v>Capex</x:v>
      </x:c>
      <x:c r="J13" s="55" t="str">
        <x:v>Critical</x:v>
      </x:c>
      <x:c r="K13" s="122"/>
    </x:row>
    <x:row r="14">
      <x:c r="C14" s="55" t="str">
        <x:v>Cash conversion</x:v>
      </x:c>
      <x:c r="D14" s="55" t="str">
        <x:v>Medium</x:v>
      </x:c>
      <x:c r="E14" s="55" t="str">
        <x:v>High</x:v>
      </x:c>
      <x:c r="F14" s="55" t="str">
        <x:v>OCF and debt paydown miss plan</x:v>
      </x:c>
      <x:c r="G14" s="55" t="str">
        <x:v>Monthly cash governance</x:v>
      </x:c>
      <x:c r="H14" s="55" t="str">
        <x:v>Working-capital and capex bridge</x:v>
      </x:c>
      <x:c r="I14" s="55" t="str">
        <x:v>Cash conversion</x:v>
      </x:c>
      <x:c r="J14" s="55" t="str">
        <x:v>Critical</x:v>
      </x:c>
      <x:c r="K14" s="122"/>
    </x:row>
    <x:row r="15">
      <x:c r="C15" s="55" t="str">
        <x:v>Leverage and rates</x:v>
      </x:c>
      <x:c r="D15" s="55" t="str">
        <x:v>High</x:v>
      </x:c>
      <x:c r="E15" s="55" t="str">
        <x:v>High</x:v>
      </x:c>
      <x:c r="F15" s="55" t="str">
        <x:v>Coverage below plan or rate hedge expiry</x:v>
      </x:c>
      <x:c r="G15" s="55" t="str">
        <x:v>Moderate entry leverage and hedging</x:v>
      </x:c>
      <x:c r="H15" s="55" t="str">
        <x:v>Debt terms, hedges and covenants</x:v>
      </x:c>
      <x:c r="I15" s="55" t="str">
        <x:v>Interest and leverage</x:v>
      </x:c>
      <x:c r="J15" s="55" t="str">
        <x:v>Critical</x:v>
      </x:c>
      <x:c r="K15" s="122"/>
    </x:row>
    <x:row r="16">
      <x:c r="C16" s="55" t="str">
        <x:v>Refinancing risk</x:v>
      </x:c>
      <x:c r="D16" s="55" t="str">
        <x:v>Medium</x:v>
      </x:c>
      <x:c r="E16" s="55" t="str">
        <x:v>High</x:v>
      </x:c>
      <x:c r="F16" s="55" t="str">
        <x:v>Maturity wall approaches with leverage elevated</x:v>
      </x:c>
      <x:c r="G16" s="55" t="str">
        <x:v>Early refinancing and debt paydown</x:v>
      </x:c>
      <x:c r="H16" s="55" t="str">
        <x:v>Maturity and covenant analysis</x:v>
      </x:c>
      <x:c r="I16" s="55" t="str">
        <x:v>Exit net debt</x:v>
      </x:c>
      <x:c r="J16" s="55" t="str">
        <x:v>High</x:v>
      </x:c>
      <x:c r="K16" s="122"/>
    </x:row>
    <x:row r="17">
      <x:c r="C17" s="55" t="str">
        <x:v>Exit multiple compression</x:v>
      </x:c>
      <x:c r="D17" s="55" t="str">
        <x:v>Medium</x:v>
      </x:c>
      <x:c r="E17" s="55" t="str">
        <x:v>High</x:v>
      </x:c>
      <x:c r="F17" s="55" t="str">
        <x:v>Public comps de-rate</x:v>
      </x:c>
      <x:c r="G17" s="55" t="str">
        <x:v>Underwrite no expansion and downside</x:v>
      </x:c>
      <x:c r="H17" s="55" t="str">
        <x:v>Comparable valuation through cycle</x:v>
      </x:c>
      <x:c r="I17" s="55" t="str">
        <x:v>Exit multiple</x:v>
      </x:c>
      <x:c r="J17" s="55" t="str">
        <x:v>Critical</x:v>
      </x:c>
      <x:c r="K17" s="122"/>
    </x:row>
    <x:row r="18">
      <x:c r="C18" s="55" t="str">
        <x:v>Execution risk</x:v>
      </x:c>
      <x:c r="D18" s="55" t="str">
        <x:v>Medium</x:v>
      </x:c>
      <x:c r="E18" s="55" t="str">
        <x:v>High</x:v>
      </x:c>
      <x:c r="F18" s="55" t="str">
        <x:v>Savings delayed or churn rises</x:v>
      </x:c>
      <x:c r="G18" s="55" t="str">
        <x:v>Phased initiatives and KPI ownership</x:v>
      </x:c>
      <x:c r="H18" s="55" t="str">
        <x:v>Cost baseline and implementation plan</x:v>
      </x:c>
      <x:c r="I18" s="55" t="str">
        <x:v>Margin</x:v>
      </x:c>
      <x:c r="J18" s="55" t="str">
        <x:v>High</x:v>
      </x:c>
      <x:c r="K18" s="122"/>
    </x:row>
    <x:row r="19">
      <x:c r="C19" s="55" t="str">
        <x:v>Add-on acquisition risk</x:v>
      </x:c>
      <x:c r="D19" s="55" t="str">
        <x:v>Low</x:v>
      </x:c>
      <x:c r="E19" s="55" t="str">
        <x:v>Medium</x:v>
      </x:c>
      <x:c r="F19" s="55" t="str">
        <x:v>Leverage or integration costs rise</x:v>
      </x:c>
      <x:c r="G19" s="55" t="str">
        <x:v>Exclude acquisitions from base case</x:v>
      </x:c>
      <x:c r="H19" s="55" t="str">
        <x:v>Pipeline and return thresholds</x:v>
      </x:c>
      <x:c r="I19" s="55" t="str">
        <x:v>Leverage and capex</x:v>
      </x:c>
      <x:c r="J19" s="55" t="str">
        <x:v>Medium</x:v>
      </x:c>
      <x:c r="K19" s="122"/>
    </x:row>
  </x:sheetData>
  <x:conditionalFormatting sqref="J7:J19">
    <x:cfRule type="containsText" dxfId="2" priority="1" operator="containsText" text="Critical"/>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 hidden="0" customWidth="1"/>
    <x:col min="2" max="2" width="2" hidden="0" customWidth="1"/>
    <x:col min="3" max="3" width="13" hidden="0" customWidth="1"/>
    <x:col min="4" max="4" width="34" hidden="0" customWidth="1"/>
    <x:col min="5" max="5" width="16" hidden="0" customWidth="1"/>
    <x:col min="6" max="6" width="18" hidden="0" customWidth="1"/>
    <x:col min="7" max="7" width="28" hidden="0" customWidth="1"/>
    <x:col min="8" max="8" width="34" hidden="0" customWidth="1"/>
    <x:col min="9" max="9" width="62" hidden="0" customWidth="1"/>
    <x:col min="10" max="10" width="32" hidden="0" customWidth="1"/>
  </x:cols>
  <x:sheetData>
    <x:row r="2">
      <x:c r="C2" s="2" t="str">
        <x:v>Sources and Assumption Audit</x:v>
      </x:c>
      <x:c r="D2" s="121"/>
      <x:c r="E2" s="121"/>
      <x:c r="F2" s="121"/>
      <x:c r="G2" s="121"/>
      <x:c r="H2" s="121"/>
      <x:c r="I2" s="121"/>
      <x:c r="J2" s="121"/>
    </x:row>
    <x:row r="3">
      <x:c r="C3" s="3" t="str">
        <x:v>Primary contemporaneous evidence used in the principal underwriting case</x:v>
      </x:c>
      <x:c r="D3" s="3"/>
      <x:c r="E3" s="3"/>
      <x:c r="F3" s="3"/>
      <x:c r="G3" s="3"/>
      <x:c r="H3" s="3"/>
      <x:c r="I3" s="3"/>
      <x:c r="J3" s="3"/>
    </x:row>
    <x:row r="4">
      <x:c r="C4" s="122"/>
      <x:c r="D4" s="122"/>
      <x:c r="E4" s="122"/>
      <x:c r="F4" s="122"/>
      <x:c r="G4" s="122"/>
      <x:c r="H4" s="122"/>
      <x:c r="I4" s="122"/>
      <x:c r="J4" s="122"/>
    </x:row>
    <x:row r="5">
      <x:c r="C5" s="122"/>
      <x:c r="D5" s="122"/>
      <x:c r="E5" s="122"/>
      <x:c r="F5" s="122"/>
      <x:c r="G5" s="122"/>
      <x:c r="H5" s="122"/>
      <x:c r="I5" s="122"/>
      <x:c r="J5" s="122"/>
    </x:row>
    <x:row r="6">
      <x:c r="C6" s="77" t="str">
        <x:v>Source ID</x:v>
      </x:c>
      <x:c r="D6" s="77" t="str">
        <x:v>Document</x:v>
      </x:c>
      <x:c r="E6" s="77" t="str">
        <x:v>Publication date</x:v>
      </x:c>
      <x:c r="F6" s="77" t="str">
        <x:v>Classification</x:v>
      </x:c>
      <x:c r="G6" s="77" t="str">
        <x:v>Section</x:v>
      </x:c>
      <x:c r="H6" s="77" t="str">
        <x:v>Metric / use</x:v>
      </x:c>
      <x:c r="I6" s="77" t="str">
        <x:v>URL</x:v>
      </x:c>
      <x:c r="J6" s="77" t="str">
        <x:v>Limitation</x:v>
      </x:c>
    </x:row>
    <x:row r="7">
      <x:c r="C7" s="55" t="str">
        <x:v>DNB-001</x:v>
      </x:c>
      <x:c r="D7" s="55" t="str">
        <x:v>Dun &amp; Bradstreet 2024 Form 10-K</x:v>
      </x:c>
      <x:c r="E7" s="120" t="n">
        <x:v>45709</x:v>
      </x:c>
      <x:c r="F7" s="55" t="str">
        <x:v>Contemporaneous</x:v>
      </x:c>
      <x:c r="G7" s="55" t="str">
        <x:v>Items 1, 7, 8; Notes 13 and 17</x:v>
      </x:c>
      <x:c r="H7" s="55" t="str">
        <x:v>Business model, historicals, debt, cash flow</x:v>
      </x:c>
      <x:c r="I7" s="55" t="str">
        <x:v>https://www.sec.gov/Archives/edgar/data/1799208/000179920825000012/dnb-20241231.htm</x:v>
      </x:c>
      <x:c r="J7" s="55" t="str">
        <x:v>Management adjusted measures require review</x:v>
      </x:c>
    </x:row>
    <x:row r="8">
      <x:c r="C8" s="55" t="str">
        <x:v>DNB-002</x:v>
      </x:c>
      <x:c r="D8" s="55" t="str">
        <x:v>Q4 and Full-Year 2024 Financial Results</x:v>
      </x:c>
      <x:c r="E8" s="120" t="n">
        <x:v>45708</x:v>
      </x:c>
      <x:c r="F8" s="55" t="str">
        <x:v>Contemporaneous</x:v>
      </x:c>
      <x:c r="G8" s="55" t="str">
        <x:v>Full release and reconciliations</x:v>
      </x:c>
      <x:c r="H8" s="55" t="str">
        <x:v>FY2024 adjusted EBITDA; FY2025 guidance</x:v>
      </x:c>
      <x:c r="I8" s="55" t="str">
        <x:v>https://www.sec.gov/Archives/edgar/data/1799208/000179920825000008/yearend2024prexhibit991.htm</x:v>
      </x:c>
      <x:c r="J8" s="55" t="str">
        <x:v>Unaudited non-GAAP measures</x:v>
      </x:c>
    </x:row>
    <x:row r="9">
      <x:c r="C9" s="55" t="str">
        <x:v>DNB-003</x:v>
      </x:c>
      <x:c r="D9" s="55" t="str">
        <x:v>Q4 2024 Earnings Presentation</x:v>
      </x:c>
      <x:c r="E9" s="120" t="n">
        <x:v>45708</x:v>
      </x:c>
      <x:c r="F9" s="55" t="str">
        <x:v>Contemporaneous</x:v>
      </x:c>
      <x:c r="G9" s="55" t="str">
        <x:v>Full presentation</x:v>
      </x:c>
      <x:c r="H9" s="55" t="str">
        <x:v>Strategy, segment performance and outlook</x:v>
      </x:c>
      <x:c r="I9" s="55" t="str">
        <x:v>https://www.sec.gov/Archives/edgar/data/1799208/000179920825000008/dbearningspresentationq4.htm</x:v>
      </x:c>
      <x:c r="J9" s="55" t="str">
        <x:v>Management presentation</x:v>
      </x:c>
    </x:row>
    <x:row r="10">
      <x:c r="C10" s="55" t="str">
        <x:v>TXN-001</x:v>
      </x:c>
      <x:c r="D10" s="55" t="str">
        <x:v>Clearlake transaction announcement</x:v>
      </x:c>
      <x:c r="E10" s="120" t="n">
        <x:v>45740</x:v>
      </x:c>
      <x:c r="F10" s="55" t="str">
        <x:v>Contemporaneous</x:v>
      </x:c>
      <x:c r="G10" s="55" t="str">
        <x:v>Transaction details</x:v>
      </x:c>
      <x:c r="H10" s="55" t="str">
        <x:v>Offer price, values and strategic rationale</x:v>
      </x:c>
      <x:c r="I10" s="55" t="str">
        <x:v>https://clearlake.com/news/dun-bradstreet-enters-into-a-definitive-agreement-to-be-acquired-by-clearlake-capital-group/</x:v>
      </x:c>
      <x:c r="J10" s="55" t="str">
        <x:v>Financing terms not disclosed</x:v>
      </x:c>
    </x:row>
    <x:row r="11">
      <x:c r="C11" s="55" t="str">
        <x:v>TXN-002</x:v>
      </x:c>
      <x:c r="D11" s="55" t="str">
        <x:v>Joint transaction announcement - Form 8-K Exhibit 99.1</x:v>
      </x:c>
      <x:c r="E11" s="120" t="n">
        <x:v>45740</x:v>
      </x:c>
      <x:c r="F11" s="55" t="str">
        <x:v>Contemporaneous</x:v>
      </x:c>
      <x:c r="G11" s="55" t="str">
        <x:v>Transaction details</x:v>
      </x:c>
      <x:c r="H11" s="55" t="str">
        <x:v>Offer price, equity value and transaction value</x:v>
      </x:c>
      <x:c r="I11" s="55" t="str">
        <x:v>https://www.sec.gov/Archives/edgar/data/1799208/000110465925027293/tm2510133d1_ex99-1.htm</x:v>
      </x:c>
      <x:c r="J11" s="55" t="str">
        <x:v>Rounded announced values</x:v>
      </x:c>
    </x:row>
    <x:row r="12">
      <x:c r="C12" s="55" t="str">
        <x:v>TXN-003</x:v>
      </x:c>
      <x:c r="D12" s="55" t="str">
        <x:v>Merger Form 8-K</x:v>
      </x:c>
      <x:c r="E12" s="120" t="n">
        <x:v>45740</x:v>
      </x:c>
      <x:c r="F12" s="55" t="str">
        <x:v>Contemporaneous</x:v>
      </x:c>
      <x:c r="G12" s="55" t="str">
        <x:v>Items 1.01, 7.01 and 9.01</x:v>
      </x:c>
      <x:c r="H12" s="55" t="str">
        <x:v>Merger documentation</x:v>
      </x:c>
      <x:c r="I12" s="55" t="str">
        <x:v>https://www.sec.gov/Archives/edgar/data/1799208/000110465925027293/tm2510133d1_8k.htm</x:v>
      </x:c>
      <x:c r="J12" s="55" t="str">
        <x:v>Does not disclose final debt structure</x:v>
      </x:c>
    </x:row>
    <x:row r="13">
      <x:c r="C13" s="55" t="str">
        <x:v>TXN-004</x:v>
      </x:c>
      <x:c r="D13" s="55" t="str">
        <x:v>Agreement and Plan of Merger</x:v>
      </x:c>
      <x:c r="E13" s="120" t="n">
        <x:v>45739</x:v>
      </x:c>
      <x:c r="F13" s="55" t="str">
        <x:v>Contemporaneous</x:v>
      </x:c>
      <x:c r="G13" s="55" t="str">
        <x:v>Articles I-X</x:v>
      </x:c>
      <x:c r="H13" s="55" t="str">
        <x:v>Terms and conditions</x:v>
      </x:c>
      <x:c r="I13" s="55" t="str">
        <x:v>https://www.sec.gov/Archives/edgar/data/1799208/000110465925027293/tm2510133d1_ex2-1.htm</x:v>
      </x:c>
      <x:c r="J13" s="55" t="str">
        <x:v>Legal terms; not an operating forecast</x:v>
      </x:c>
    </x:row>
    <x:row r="14">
      <x:c r="C14" s="55" t="str">
        <x:v>RET-001</x:v>
      </x:c>
      <x:c r="D14" s="55" t="str">
        <x:v>Definitive Merger Proxy</x:v>
      </x:c>
      <x:c r="E14" s="120" t="n">
        <x:v>45790</x:v>
      </x:c>
      <x:c r="F14" s="55" t="str">
        <x:v>Retrospective</x:v>
      </x:c>
      <x:c r="G14" s="55" t="str">
        <x:v>DEFM14A</x:v>
      </x:c>
      <x:c r="H14" s="55" t="str">
        <x:v>Transaction history and forecasts</x:v>
      </x:c>
      <x:c r="I14" s="55" t="str">
        <x:v>https://www.sec.gov/Archives/edgar/data/1799208/000110465925047992/tm2513251-2_defm14a.htm</x:v>
      </x:c>
      <x:c r="J14" s="55" t="str">
        <x:v>Excluded from principal underwriting</x:v>
      </x:c>
    </x:row>
    <x:row r="15">
      <x:c r="C15" s="55" t="str">
        <x:v>RET-002</x:v>
      </x:c>
      <x:c r="D15" s="55" t="str">
        <x:v>Closing Form 8-K</x:v>
      </x:c>
      <x:c r="E15" s="120" t="n">
        <x:v>45895</x:v>
      </x:c>
      <x:c r="F15" s="55" t="str">
        <x:v>Retrospective</x:v>
      </x:c>
      <x:c r="G15" s="55" t="str">
        <x:v>Items 2.01, 3.01, 3.03, 5.01 and 9.01</x:v>
      </x:c>
      <x:c r="H15" s="55" t="str">
        <x:v>Closing confirmation</x:v>
      </x:c>
      <x:c r="I15" s="55" t="str">
        <x:v>https://www.sec.gov/Archives/edgar/data/1799208/000110465925082892/tm2524330d1_8k.htm</x:v>
      </x:c>
      <x:c r="J15" s="55" t="str">
        <x:v>Post-announcement information</x:v>
      </x:c>
    </x:row>
  </x:sheetData>
  <x:pageMargins left="0.7" right="0.7" top="0.75" bottom="0.75" header="0.3" footer="0.3"/>
</x:worksheet>
</file>